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4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user\"/>
    </mc:Choice>
  </mc:AlternateContent>
  <bookViews>
    <workbookView xWindow="0" yWindow="0" windowWidth="28800" windowHeight="12300" firstSheet="1" activeTab="5"/>
  </bookViews>
  <sheets>
    <sheet name="LookupLists" sheetId="1" state="hidden" r:id="rId1"/>
    <sheet name="Sheet1" sheetId="3" r:id="rId2"/>
    <sheet name="Sheet3" sheetId="4" r:id="rId3"/>
    <sheet name="Sheet4" sheetId="5" r:id="rId4"/>
    <sheet name="Sheet5" sheetId="6" r:id="rId5"/>
    <sheet name="Sheet8" sheetId="9" r:id="rId6"/>
    <sheet name="Sheet7" sheetId="8" r:id="rId7"/>
    <sheet name="Sheet6" sheetId="7" r:id="rId8"/>
    <sheet name="Sheet2" sheetId="2" r:id="rId9"/>
  </sheets>
  <definedNames>
    <definedName name="Prices">Sheet2!$B$2:$B$12</definedName>
    <definedName name="TypesOfHomes">LookupLists!$A$2:$A$6</definedName>
    <definedName name="Years">Sheet2!$A$2:$A$12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4" i="9" l="1"/>
  <c r="D5" i="9"/>
  <c r="D6" i="9"/>
  <c r="D7" i="9"/>
  <c r="D8" i="9"/>
  <c r="D9" i="9"/>
  <c r="D10" i="9"/>
  <c r="D11" i="9"/>
  <c r="D13" i="9"/>
  <c r="D14" i="9"/>
  <c r="D15" i="9"/>
  <c r="E13" i="9" s="1"/>
  <c r="D16" i="9"/>
  <c r="D17" i="9"/>
  <c r="D18" i="9"/>
  <c r="D19" i="9"/>
  <c r="D20" i="9"/>
  <c r="D21" i="9"/>
  <c r="D23" i="9"/>
  <c r="D24" i="9"/>
  <c r="E23" i="9" s="1"/>
  <c r="D25" i="9"/>
  <c r="D26" i="9"/>
  <c r="D27" i="9"/>
  <c r="D28" i="9"/>
  <c r="D29" i="9"/>
  <c r="D30" i="9"/>
  <c r="D31" i="9"/>
  <c r="D33" i="9"/>
  <c r="E33" i="9" s="1"/>
  <c r="D34" i="9"/>
  <c r="D35" i="9"/>
  <c r="D36" i="9"/>
  <c r="D37" i="9"/>
  <c r="D38" i="9"/>
  <c r="D39" i="9"/>
  <c r="D40" i="9"/>
  <c r="D41" i="9"/>
  <c r="D43" i="9"/>
  <c r="E43" i="9" s="1"/>
  <c r="D44" i="9"/>
  <c r="D45" i="9"/>
  <c r="D46" i="9"/>
  <c r="D47" i="9"/>
  <c r="D48" i="9"/>
  <c r="D49" i="9"/>
  <c r="D50" i="9"/>
  <c r="D51" i="9"/>
  <c r="D53" i="9"/>
  <c r="E53" i="9" s="1"/>
  <c r="D54" i="9"/>
  <c r="D55" i="9"/>
  <c r="D56" i="9"/>
  <c r="D57" i="9"/>
  <c r="D58" i="9"/>
  <c r="D59" i="9"/>
  <c r="D60" i="9"/>
  <c r="D61" i="9"/>
  <c r="D63" i="9"/>
  <c r="D64" i="9"/>
  <c r="D65" i="9"/>
  <c r="D66" i="9"/>
  <c r="D67" i="9"/>
  <c r="D68" i="9"/>
  <c r="D69" i="9"/>
  <c r="E63" i="9" s="1"/>
  <c r="D70" i="9"/>
  <c r="D71" i="9"/>
  <c r="D73" i="9"/>
  <c r="D74" i="9"/>
  <c r="D75" i="9"/>
  <c r="D76" i="9"/>
  <c r="D77" i="9"/>
  <c r="D78" i="9"/>
  <c r="D79" i="9"/>
  <c r="E73" i="9" s="1"/>
  <c r="D80" i="9"/>
  <c r="D81" i="9"/>
  <c r="D83" i="9"/>
  <c r="E83" i="9" s="1"/>
  <c r="D84" i="9"/>
  <c r="D85" i="9"/>
  <c r="D86" i="9"/>
  <c r="D87" i="9"/>
  <c r="D88" i="9"/>
  <c r="D89" i="9"/>
  <c r="D90" i="9"/>
  <c r="D91" i="9"/>
  <c r="D93" i="9"/>
  <c r="D94" i="9"/>
  <c r="D95" i="9"/>
  <c r="E93" i="9" s="1"/>
  <c r="D96" i="9"/>
  <c r="D97" i="9"/>
  <c r="D98" i="9"/>
  <c r="D99" i="9"/>
  <c r="D100" i="9"/>
  <c r="D101" i="9"/>
  <c r="D103" i="9"/>
  <c r="D104" i="9"/>
  <c r="E103" i="9" s="1"/>
  <c r="D105" i="9"/>
  <c r="D106" i="9"/>
  <c r="D107" i="9"/>
  <c r="D108" i="9"/>
  <c r="D109" i="9"/>
  <c r="D110" i="9"/>
  <c r="D111" i="9"/>
  <c r="D113" i="9"/>
  <c r="E113" i="9" s="1"/>
  <c r="D114" i="9"/>
  <c r="D115" i="9"/>
  <c r="D116" i="9"/>
  <c r="D117" i="9"/>
  <c r="D118" i="9"/>
  <c r="D119" i="9"/>
  <c r="D120" i="9"/>
  <c r="D121" i="9"/>
  <c r="D123" i="9"/>
  <c r="E123" i="9" s="1"/>
  <c r="D124" i="9"/>
  <c r="D125" i="9"/>
  <c r="D126" i="9"/>
  <c r="D127" i="9"/>
  <c r="D128" i="9"/>
  <c r="D129" i="9"/>
  <c r="D130" i="9"/>
  <c r="D131" i="9"/>
  <c r="D133" i="9"/>
  <c r="E133" i="9" s="1"/>
  <c r="D134" i="9"/>
  <c r="D135" i="9"/>
  <c r="D136" i="9"/>
  <c r="D137" i="9"/>
  <c r="D138" i="9"/>
  <c r="D139" i="9"/>
  <c r="D140" i="9"/>
  <c r="D141" i="9"/>
  <c r="D143" i="9"/>
  <c r="D144" i="9"/>
  <c r="D145" i="9"/>
  <c r="D146" i="9"/>
  <c r="D147" i="9"/>
  <c r="D148" i="9"/>
  <c r="D149" i="9"/>
  <c r="E143" i="9" s="1"/>
  <c r="D150" i="9"/>
  <c r="D151" i="9"/>
  <c r="D153" i="9"/>
  <c r="D154" i="9"/>
  <c r="D155" i="9"/>
  <c r="D156" i="9"/>
  <c r="D157" i="9"/>
  <c r="D158" i="9"/>
  <c r="D159" i="9"/>
  <c r="E153" i="9" s="1"/>
  <c r="D160" i="9"/>
  <c r="D161" i="9"/>
  <c r="D163" i="9"/>
  <c r="E163" i="9" s="1"/>
  <c r="D164" i="9"/>
  <c r="D165" i="9"/>
  <c r="D166" i="9"/>
  <c r="D167" i="9"/>
  <c r="D168" i="9"/>
  <c r="D169" i="9"/>
  <c r="D170" i="9"/>
  <c r="D171" i="9"/>
  <c r="D173" i="9"/>
  <c r="D174" i="9"/>
  <c r="D175" i="9"/>
  <c r="E173" i="9" s="1"/>
  <c r="D176" i="9"/>
  <c r="D177" i="9"/>
  <c r="D178" i="9"/>
  <c r="D179" i="9"/>
  <c r="D180" i="9"/>
  <c r="D181" i="9"/>
  <c r="D183" i="9"/>
  <c r="D184" i="9"/>
  <c r="E183" i="9" s="1"/>
  <c r="D185" i="9"/>
  <c r="D186" i="9"/>
  <c r="D187" i="9"/>
  <c r="D188" i="9"/>
  <c r="D189" i="9"/>
  <c r="D190" i="9"/>
  <c r="D191" i="9"/>
  <c r="D193" i="9"/>
  <c r="E193" i="9" s="1"/>
  <c r="D194" i="9"/>
  <c r="D195" i="9"/>
  <c r="D196" i="9"/>
  <c r="D197" i="9"/>
  <c r="D198" i="9"/>
  <c r="D199" i="9"/>
  <c r="D200" i="9"/>
  <c r="D201" i="9"/>
  <c r="D203" i="9"/>
  <c r="E203" i="9" s="1"/>
  <c r="D204" i="9"/>
  <c r="D205" i="9"/>
  <c r="D206" i="9"/>
  <c r="D207" i="9"/>
  <c r="D208" i="9"/>
  <c r="D209" i="9"/>
  <c r="D210" i="9"/>
  <c r="D211" i="9"/>
  <c r="D213" i="9"/>
  <c r="E213" i="9" s="1"/>
  <c r="D214" i="9"/>
  <c r="D215" i="9"/>
  <c r="D216" i="9"/>
  <c r="D217" i="9"/>
  <c r="D218" i="9"/>
  <c r="D219" i="9"/>
  <c r="D220" i="9"/>
  <c r="D221" i="9"/>
  <c r="D223" i="9"/>
  <c r="D224" i="9"/>
  <c r="D225" i="9"/>
  <c r="D226" i="9"/>
  <c r="D227" i="9"/>
  <c r="D228" i="9"/>
  <c r="D229" i="9"/>
  <c r="E223" i="9" s="1"/>
  <c r="D230" i="9"/>
  <c r="D231" i="9"/>
  <c r="D233" i="9"/>
  <c r="D234" i="9"/>
  <c r="D235" i="9"/>
  <c r="D236" i="9"/>
  <c r="D237" i="9"/>
  <c r="D238" i="9"/>
  <c r="D239" i="9"/>
  <c r="E233" i="9" s="1"/>
  <c r="D240" i="9"/>
  <c r="D241" i="9"/>
  <c r="D243" i="9"/>
  <c r="E243" i="9" s="1"/>
  <c r="D244" i="9"/>
  <c r="D245" i="9"/>
  <c r="D246" i="9"/>
  <c r="D247" i="9"/>
  <c r="D248" i="9"/>
  <c r="D249" i="9"/>
  <c r="D250" i="9"/>
  <c r="D251" i="9"/>
  <c r="D253" i="9"/>
  <c r="D254" i="9"/>
  <c r="D255" i="9"/>
  <c r="E253" i="9" s="1"/>
  <c r="D256" i="9"/>
  <c r="D257" i="9"/>
  <c r="D258" i="9"/>
  <c r="D259" i="9"/>
  <c r="D260" i="9"/>
  <c r="D261" i="9"/>
  <c r="D263" i="9"/>
  <c r="D264" i="9"/>
  <c r="E263" i="9" s="1"/>
  <c r="D265" i="9"/>
  <c r="D266" i="9"/>
  <c r="D267" i="9"/>
  <c r="D268" i="9"/>
  <c r="D269" i="9"/>
  <c r="D270" i="9"/>
  <c r="D271" i="9"/>
  <c r="D273" i="9"/>
  <c r="E273" i="9" s="1"/>
  <c r="D274" i="9"/>
  <c r="D275" i="9"/>
  <c r="D276" i="9"/>
  <c r="D277" i="9"/>
  <c r="D278" i="9"/>
  <c r="D279" i="9"/>
  <c r="D280" i="9"/>
  <c r="D281" i="9"/>
  <c r="D283" i="9"/>
  <c r="E283" i="9" s="1"/>
  <c r="D284" i="9"/>
  <c r="D285" i="9"/>
  <c r="D286" i="9"/>
  <c r="D287" i="9"/>
  <c r="D288" i="9"/>
  <c r="D289" i="9"/>
  <c r="D290" i="9"/>
  <c r="D291" i="9"/>
  <c r="D293" i="9"/>
  <c r="E293" i="9" s="1"/>
  <c r="D294" i="9"/>
  <c r="D295" i="9"/>
  <c r="D296" i="9"/>
  <c r="D297" i="9"/>
  <c r="D298" i="9"/>
  <c r="D299" i="9"/>
  <c r="D300" i="9"/>
  <c r="D301" i="9"/>
  <c r="D303" i="9"/>
  <c r="D304" i="9"/>
  <c r="D305" i="9"/>
  <c r="D306" i="9"/>
  <c r="D307" i="9"/>
  <c r="D308" i="9"/>
  <c r="D309" i="9"/>
  <c r="E303" i="9" s="1"/>
  <c r="D310" i="9"/>
  <c r="D311" i="9"/>
  <c r="D313" i="9"/>
  <c r="D314" i="9"/>
  <c r="D315" i="9"/>
  <c r="D316" i="9"/>
  <c r="D317" i="9"/>
  <c r="D318" i="9"/>
  <c r="D319" i="9"/>
  <c r="E313" i="9" s="1"/>
  <c r="D320" i="9"/>
  <c r="D321" i="9"/>
  <c r="D323" i="9"/>
  <c r="E323" i="9" s="1"/>
  <c r="D324" i="9"/>
  <c r="D325" i="9"/>
  <c r="D326" i="9"/>
  <c r="D327" i="9"/>
  <c r="D328" i="9"/>
  <c r="D329" i="9"/>
  <c r="D330" i="9"/>
  <c r="D331" i="9"/>
  <c r="D333" i="9"/>
  <c r="E333" i="9" s="1"/>
  <c r="D334" i="9"/>
  <c r="D335" i="9"/>
  <c r="D336" i="9"/>
  <c r="D337" i="9"/>
  <c r="D338" i="9"/>
  <c r="D339" i="9"/>
  <c r="D340" i="9"/>
  <c r="D341" i="9"/>
  <c r="D343" i="9"/>
  <c r="D344" i="9"/>
  <c r="E343" i="9" s="1"/>
  <c r="D345" i="9"/>
  <c r="D346" i="9"/>
  <c r="D347" i="9"/>
  <c r="D348" i="9"/>
  <c r="D349" i="9"/>
  <c r="D350" i="9"/>
  <c r="D351" i="9"/>
  <c r="D3" i="9"/>
  <c r="E3" i="9" s="1"/>
  <c r="D135" i="6"/>
  <c r="F135" i="6" s="1"/>
  <c r="D5" i="6"/>
  <c r="F5" i="6" s="1"/>
  <c r="F11" i="6"/>
  <c r="F20" i="6"/>
  <c r="F29" i="6"/>
  <c r="F38" i="6"/>
  <c r="F47" i="6"/>
  <c r="F56" i="6"/>
  <c r="F65" i="6"/>
  <c r="F74" i="6"/>
  <c r="F83" i="6"/>
  <c r="F92" i="6"/>
  <c r="F101" i="6"/>
  <c r="F110" i="6"/>
  <c r="F119" i="6"/>
  <c r="F128" i="6"/>
  <c r="F137" i="6"/>
  <c r="F146" i="6"/>
  <c r="F155" i="6"/>
  <c r="F164" i="6"/>
  <c r="F173" i="6"/>
  <c r="F182" i="6"/>
  <c r="F191" i="6"/>
  <c r="F200" i="6"/>
  <c r="F209" i="6"/>
  <c r="F218" i="6"/>
  <c r="F227" i="6"/>
  <c r="F236" i="6"/>
  <c r="F245" i="6"/>
  <c r="F254" i="6"/>
  <c r="F263" i="6"/>
  <c r="F272" i="6"/>
  <c r="F281" i="6"/>
  <c r="F290" i="6"/>
  <c r="F299" i="6"/>
  <c r="F308" i="6"/>
  <c r="D12" i="6"/>
  <c r="F12" i="6" s="1"/>
  <c r="D13" i="6"/>
  <c r="F13" i="6" s="1"/>
  <c r="D14" i="6"/>
  <c r="F14" i="6" s="1"/>
  <c r="D15" i="6"/>
  <c r="F15" i="6" s="1"/>
  <c r="D16" i="6"/>
  <c r="F16" i="6" s="1"/>
  <c r="D17" i="6"/>
  <c r="F17" i="6" s="1"/>
  <c r="D18" i="6"/>
  <c r="F18" i="6" s="1"/>
  <c r="D19" i="6"/>
  <c r="F19" i="6" s="1"/>
  <c r="D21" i="6"/>
  <c r="F21" i="6" s="1"/>
  <c r="D22" i="6"/>
  <c r="F22" i="6" s="1"/>
  <c r="D23" i="6"/>
  <c r="F23" i="6" s="1"/>
  <c r="D24" i="6"/>
  <c r="F24" i="6" s="1"/>
  <c r="D25" i="6"/>
  <c r="F25" i="6" s="1"/>
  <c r="D26" i="6"/>
  <c r="F26" i="6" s="1"/>
  <c r="D27" i="6"/>
  <c r="F27" i="6" s="1"/>
  <c r="D28" i="6"/>
  <c r="F28" i="6" s="1"/>
  <c r="D30" i="6"/>
  <c r="F30" i="6" s="1"/>
  <c r="D31" i="6"/>
  <c r="F31" i="6" s="1"/>
  <c r="D32" i="6"/>
  <c r="F32" i="6" s="1"/>
  <c r="D33" i="6"/>
  <c r="F33" i="6" s="1"/>
  <c r="D34" i="6"/>
  <c r="F34" i="6" s="1"/>
  <c r="D35" i="6"/>
  <c r="F35" i="6" s="1"/>
  <c r="D36" i="6"/>
  <c r="F36" i="6" s="1"/>
  <c r="D37" i="6"/>
  <c r="F37" i="6" s="1"/>
  <c r="D39" i="6"/>
  <c r="F39" i="6" s="1"/>
  <c r="D40" i="6"/>
  <c r="F40" i="6" s="1"/>
  <c r="D41" i="6"/>
  <c r="F41" i="6" s="1"/>
  <c r="D42" i="6"/>
  <c r="F42" i="6" s="1"/>
  <c r="D43" i="6"/>
  <c r="F43" i="6" s="1"/>
  <c r="D44" i="6"/>
  <c r="F44" i="6" s="1"/>
  <c r="D45" i="6"/>
  <c r="F45" i="6" s="1"/>
  <c r="D46" i="6"/>
  <c r="F46" i="6" s="1"/>
  <c r="D48" i="6"/>
  <c r="F48" i="6" s="1"/>
  <c r="D49" i="6"/>
  <c r="F49" i="6" s="1"/>
  <c r="D50" i="6"/>
  <c r="F50" i="6" s="1"/>
  <c r="D51" i="6"/>
  <c r="F51" i="6" s="1"/>
  <c r="D52" i="6"/>
  <c r="F52" i="6" s="1"/>
  <c r="D53" i="6"/>
  <c r="F53" i="6" s="1"/>
  <c r="D54" i="6"/>
  <c r="F54" i="6" s="1"/>
  <c r="D55" i="6"/>
  <c r="F55" i="6" s="1"/>
  <c r="D57" i="6"/>
  <c r="D58" i="6"/>
  <c r="F58" i="6" s="1"/>
  <c r="D59" i="6"/>
  <c r="F59" i="6" s="1"/>
  <c r="D60" i="6"/>
  <c r="F60" i="6" s="1"/>
  <c r="D61" i="6"/>
  <c r="F61" i="6" s="1"/>
  <c r="D62" i="6"/>
  <c r="F62" i="6" s="1"/>
  <c r="D63" i="6"/>
  <c r="F63" i="6" s="1"/>
  <c r="D64" i="6"/>
  <c r="F64" i="6" s="1"/>
  <c r="D66" i="6"/>
  <c r="D67" i="6"/>
  <c r="F67" i="6" s="1"/>
  <c r="D68" i="6"/>
  <c r="F68" i="6" s="1"/>
  <c r="D69" i="6"/>
  <c r="F69" i="6" s="1"/>
  <c r="D70" i="6"/>
  <c r="F70" i="6" s="1"/>
  <c r="D71" i="6"/>
  <c r="F71" i="6" s="1"/>
  <c r="D72" i="6"/>
  <c r="F72" i="6" s="1"/>
  <c r="D73" i="6"/>
  <c r="F73" i="6" s="1"/>
  <c r="D75" i="6"/>
  <c r="F75" i="6" s="1"/>
  <c r="D76" i="6"/>
  <c r="F76" i="6" s="1"/>
  <c r="D77" i="6"/>
  <c r="F77" i="6" s="1"/>
  <c r="D78" i="6"/>
  <c r="F78" i="6" s="1"/>
  <c r="D79" i="6"/>
  <c r="F79" i="6" s="1"/>
  <c r="D80" i="6"/>
  <c r="F80" i="6" s="1"/>
  <c r="D81" i="6"/>
  <c r="F81" i="6" s="1"/>
  <c r="D82" i="6"/>
  <c r="F82" i="6" s="1"/>
  <c r="D84" i="6"/>
  <c r="D85" i="6"/>
  <c r="F85" i="6" s="1"/>
  <c r="D86" i="6"/>
  <c r="F86" i="6" s="1"/>
  <c r="D87" i="6"/>
  <c r="F87" i="6" s="1"/>
  <c r="D88" i="6"/>
  <c r="F88" i="6" s="1"/>
  <c r="D89" i="6"/>
  <c r="F89" i="6" s="1"/>
  <c r="D90" i="6"/>
  <c r="F90" i="6" s="1"/>
  <c r="D91" i="6"/>
  <c r="F91" i="6" s="1"/>
  <c r="D93" i="6"/>
  <c r="F93" i="6" s="1"/>
  <c r="D94" i="6"/>
  <c r="F94" i="6" s="1"/>
  <c r="D95" i="6"/>
  <c r="F95" i="6" s="1"/>
  <c r="D96" i="6"/>
  <c r="F96" i="6" s="1"/>
  <c r="D97" i="6"/>
  <c r="D98" i="6"/>
  <c r="F98" i="6" s="1"/>
  <c r="D99" i="6"/>
  <c r="F99" i="6" s="1"/>
  <c r="D100" i="6"/>
  <c r="F100" i="6" s="1"/>
  <c r="D102" i="6"/>
  <c r="F102" i="6" s="1"/>
  <c r="D103" i="6"/>
  <c r="F103" i="6" s="1"/>
  <c r="D104" i="6"/>
  <c r="F104" i="6" s="1"/>
  <c r="D105" i="6"/>
  <c r="F105" i="6" s="1"/>
  <c r="D106" i="6"/>
  <c r="F106" i="6" s="1"/>
  <c r="D107" i="6"/>
  <c r="F107" i="6" s="1"/>
  <c r="D108" i="6"/>
  <c r="F108" i="6" s="1"/>
  <c r="D109" i="6"/>
  <c r="F109" i="6" s="1"/>
  <c r="D111" i="6"/>
  <c r="F111" i="6" s="1"/>
  <c r="D112" i="6"/>
  <c r="F112" i="6" s="1"/>
  <c r="D113" i="6"/>
  <c r="F113" i="6" s="1"/>
  <c r="D114" i="6"/>
  <c r="F114" i="6" s="1"/>
  <c r="D115" i="6"/>
  <c r="F115" i="6" s="1"/>
  <c r="D116" i="6"/>
  <c r="F116" i="6" s="1"/>
  <c r="D117" i="6"/>
  <c r="F117" i="6" s="1"/>
  <c r="D118" i="6"/>
  <c r="F118" i="6" s="1"/>
  <c r="D120" i="6"/>
  <c r="F120" i="6" s="1"/>
  <c r="D121" i="6"/>
  <c r="F121" i="6" s="1"/>
  <c r="D122" i="6"/>
  <c r="F122" i="6" s="1"/>
  <c r="D123" i="6"/>
  <c r="F123" i="6" s="1"/>
  <c r="D124" i="6"/>
  <c r="F124" i="6" s="1"/>
  <c r="D125" i="6"/>
  <c r="F125" i="6" s="1"/>
  <c r="D126" i="6"/>
  <c r="F126" i="6" s="1"/>
  <c r="D127" i="6"/>
  <c r="F127" i="6" s="1"/>
  <c r="D129" i="6"/>
  <c r="D130" i="6"/>
  <c r="F130" i="6" s="1"/>
  <c r="D131" i="6"/>
  <c r="F131" i="6" s="1"/>
  <c r="D132" i="6"/>
  <c r="F132" i="6" s="1"/>
  <c r="D133" i="6"/>
  <c r="F133" i="6" s="1"/>
  <c r="D134" i="6"/>
  <c r="F134" i="6" s="1"/>
  <c r="D136" i="6"/>
  <c r="F136" i="6" s="1"/>
  <c r="D138" i="6"/>
  <c r="F138" i="6" s="1"/>
  <c r="D139" i="6"/>
  <c r="F139" i="6" s="1"/>
  <c r="D140" i="6"/>
  <c r="F140" i="6" s="1"/>
  <c r="D141" i="6"/>
  <c r="F141" i="6" s="1"/>
  <c r="D142" i="6"/>
  <c r="F142" i="6" s="1"/>
  <c r="D143" i="6"/>
  <c r="F143" i="6" s="1"/>
  <c r="D144" i="6"/>
  <c r="F144" i="6" s="1"/>
  <c r="D145" i="6"/>
  <c r="F145" i="6" s="1"/>
  <c r="D147" i="6"/>
  <c r="F147" i="6" s="1"/>
  <c r="D148" i="6"/>
  <c r="F148" i="6" s="1"/>
  <c r="D149" i="6"/>
  <c r="F149" i="6" s="1"/>
  <c r="D150" i="6"/>
  <c r="F150" i="6" s="1"/>
  <c r="D151" i="6"/>
  <c r="F151" i="6" s="1"/>
  <c r="D152" i="6"/>
  <c r="F152" i="6" s="1"/>
  <c r="D153" i="6"/>
  <c r="F153" i="6" s="1"/>
  <c r="D154" i="6"/>
  <c r="F154" i="6" s="1"/>
  <c r="D156" i="6"/>
  <c r="F156" i="6" s="1"/>
  <c r="D157" i="6"/>
  <c r="F157" i="6" s="1"/>
  <c r="D158" i="6"/>
  <c r="F158" i="6" s="1"/>
  <c r="D159" i="6"/>
  <c r="F159" i="6" s="1"/>
  <c r="D160" i="6"/>
  <c r="F160" i="6" s="1"/>
  <c r="D161" i="6"/>
  <c r="F161" i="6" s="1"/>
  <c r="D162" i="6"/>
  <c r="F162" i="6" s="1"/>
  <c r="D163" i="6"/>
  <c r="F163" i="6" s="1"/>
  <c r="D165" i="6"/>
  <c r="F165" i="6" s="1"/>
  <c r="D166" i="6"/>
  <c r="F166" i="6" s="1"/>
  <c r="D167" i="6"/>
  <c r="F167" i="6" s="1"/>
  <c r="D168" i="6"/>
  <c r="F168" i="6" s="1"/>
  <c r="D169" i="6"/>
  <c r="F169" i="6" s="1"/>
  <c r="D170" i="6"/>
  <c r="F170" i="6" s="1"/>
  <c r="D171" i="6"/>
  <c r="F171" i="6" s="1"/>
  <c r="D172" i="6"/>
  <c r="F172" i="6" s="1"/>
  <c r="D174" i="6"/>
  <c r="F174" i="6" s="1"/>
  <c r="D175" i="6"/>
  <c r="F175" i="6" s="1"/>
  <c r="D176" i="6"/>
  <c r="F176" i="6" s="1"/>
  <c r="D177" i="6"/>
  <c r="F177" i="6" s="1"/>
  <c r="D178" i="6"/>
  <c r="F178" i="6" s="1"/>
  <c r="D179" i="6"/>
  <c r="F179" i="6" s="1"/>
  <c r="D180" i="6"/>
  <c r="F180" i="6" s="1"/>
  <c r="D181" i="6"/>
  <c r="F181" i="6" s="1"/>
  <c r="D183" i="6"/>
  <c r="F183" i="6" s="1"/>
  <c r="D184" i="6"/>
  <c r="F184" i="6" s="1"/>
  <c r="D185" i="6"/>
  <c r="F185" i="6" s="1"/>
  <c r="D186" i="6"/>
  <c r="F186" i="6" s="1"/>
  <c r="D187" i="6"/>
  <c r="F187" i="6" s="1"/>
  <c r="D188" i="6"/>
  <c r="F188" i="6" s="1"/>
  <c r="D189" i="6"/>
  <c r="F189" i="6" s="1"/>
  <c r="D190" i="6"/>
  <c r="F190" i="6" s="1"/>
  <c r="D192" i="6"/>
  <c r="F192" i="6" s="1"/>
  <c r="D193" i="6"/>
  <c r="F193" i="6" s="1"/>
  <c r="D194" i="6"/>
  <c r="F194" i="6" s="1"/>
  <c r="D195" i="6"/>
  <c r="F195" i="6" s="1"/>
  <c r="D196" i="6"/>
  <c r="F196" i="6" s="1"/>
  <c r="D197" i="6"/>
  <c r="F197" i="6" s="1"/>
  <c r="D198" i="6"/>
  <c r="F198" i="6" s="1"/>
  <c r="D199" i="6"/>
  <c r="F199" i="6" s="1"/>
  <c r="D201" i="6"/>
  <c r="D202" i="6"/>
  <c r="F202" i="6" s="1"/>
  <c r="D203" i="6"/>
  <c r="F203" i="6" s="1"/>
  <c r="D204" i="6"/>
  <c r="F204" i="6" s="1"/>
  <c r="D205" i="6"/>
  <c r="F205" i="6" s="1"/>
  <c r="D206" i="6"/>
  <c r="F206" i="6" s="1"/>
  <c r="D207" i="6"/>
  <c r="F207" i="6" s="1"/>
  <c r="D208" i="6"/>
  <c r="F208" i="6" s="1"/>
  <c r="D210" i="6"/>
  <c r="F210" i="6" s="1"/>
  <c r="D211" i="6"/>
  <c r="F211" i="6" s="1"/>
  <c r="D212" i="6"/>
  <c r="F212" i="6" s="1"/>
  <c r="D213" i="6"/>
  <c r="F213" i="6" s="1"/>
  <c r="D214" i="6"/>
  <c r="F214" i="6" s="1"/>
  <c r="D215" i="6"/>
  <c r="F215" i="6" s="1"/>
  <c r="D216" i="6"/>
  <c r="F216" i="6" s="1"/>
  <c r="D217" i="6"/>
  <c r="F217" i="6" s="1"/>
  <c r="D219" i="6"/>
  <c r="F219" i="6" s="1"/>
  <c r="D220" i="6"/>
  <c r="F220" i="6" s="1"/>
  <c r="D221" i="6"/>
  <c r="F221" i="6" s="1"/>
  <c r="D222" i="6"/>
  <c r="F222" i="6" s="1"/>
  <c r="D223" i="6"/>
  <c r="F223" i="6" s="1"/>
  <c r="D224" i="6"/>
  <c r="F224" i="6" s="1"/>
  <c r="D225" i="6"/>
  <c r="F225" i="6" s="1"/>
  <c r="D226" i="6"/>
  <c r="F226" i="6" s="1"/>
  <c r="D228" i="6"/>
  <c r="F228" i="6" s="1"/>
  <c r="D229" i="6"/>
  <c r="F229" i="6" s="1"/>
  <c r="D230" i="6"/>
  <c r="F230" i="6" s="1"/>
  <c r="D231" i="6"/>
  <c r="F231" i="6" s="1"/>
  <c r="D232" i="6"/>
  <c r="F232" i="6" s="1"/>
  <c r="D233" i="6"/>
  <c r="F233" i="6" s="1"/>
  <c r="D234" i="6"/>
  <c r="F234" i="6" s="1"/>
  <c r="D235" i="6"/>
  <c r="F235" i="6" s="1"/>
  <c r="D237" i="6"/>
  <c r="F237" i="6" s="1"/>
  <c r="D238" i="6"/>
  <c r="F238" i="6" s="1"/>
  <c r="D239" i="6"/>
  <c r="F239" i="6" s="1"/>
  <c r="D240" i="6"/>
  <c r="F240" i="6" s="1"/>
  <c r="D241" i="6"/>
  <c r="D242" i="6"/>
  <c r="F242" i="6" s="1"/>
  <c r="D243" i="6"/>
  <c r="F243" i="6" s="1"/>
  <c r="D244" i="6"/>
  <c r="F244" i="6" s="1"/>
  <c r="D246" i="6"/>
  <c r="F246" i="6" s="1"/>
  <c r="D247" i="6"/>
  <c r="F247" i="6" s="1"/>
  <c r="D248" i="6"/>
  <c r="F248" i="6" s="1"/>
  <c r="D249" i="6"/>
  <c r="F249" i="6" s="1"/>
  <c r="D250" i="6"/>
  <c r="F250" i="6" s="1"/>
  <c r="D251" i="6"/>
  <c r="F251" i="6" s="1"/>
  <c r="D252" i="6"/>
  <c r="F252" i="6" s="1"/>
  <c r="D253" i="6"/>
  <c r="F253" i="6" s="1"/>
  <c r="D255" i="6"/>
  <c r="F255" i="6" s="1"/>
  <c r="D256" i="6"/>
  <c r="F256" i="6" s="1"/>
  <c r="D257" i="6"/>
  <c r="F257" i="6" s="1"/>
  <c r="D258" i="6"/>
  <c r="F258" i="6" s="1"/>
  <c r="D259" i="6"/>
  <c r="F259" i="6" s="1"/>
  <c r="D260" i="6"/>
  <c r="F260" i="6" s="1"/>
  <c r="D261" i="6"/>
  <c r="F261" i="6" s="1"/>
  <c r="D262" i="6"/>
  <c r="F262" i="6" s="1"/>
  <c r="D264" i="6"/>
  <c r="F264" i="6" s="1"/>
  <c r="D265" i="6"/>
  <c r="F265" i="6" s="1"/>
  <c r="D266" i="6"/>
  <c r="F266" i="6" s="1"/>
  <c r="D267" i="6"/>
  <c r="F267" i="6" s="1"/>
  <c r="D268" i="6"/>
  <c r="F268" i="6" s="1"/>
  <c r="D269" i="6"/>
  <c r="F269" i="6" s="1"/>
  <c r="D270" i="6"/>
  <c r="F270" i="6" s="1"/>
  <c r="D271" i="6"/>
  <c r="F271" i="6" s="1"/>
  <c r="D273" i="6"/>
  <c r="D274" i="6"/>
  <c r="F274" i="6" s="1"/>
  <c r="D275" i="6"/>
  <c r="F275" i="6" s="1"/>
  <c r="D276" i="6"/>
  <c r="F276" i="6" s="1"/>
  <c r="D277" i="6"/>
  <c r="F277" i="6" s="1"/>
  <c r="D278" i="6"/>
  <c r="F278" i="6" s="1"/>
  <c r="D279" i="6"/>
  <c r="F279" i="6" s="1"/>
  <c r="D280" i="6"/>
  <c r="F280" i="6" s="1"/>
  <c r="D282" i="6"/>
  <c r="F282" i="6" s="1"/>
  <c r="D283" i="6"/>
  <c r="F283" i="6" s="1"/>
  <c r="D284" i="6"/>
  <c r="F284" i="6" s="1"/>
  <c r="D285" i="6"/>
  <c r="F285" i="6" s="1"/>
  <c r="D286" i="6"/>
  <c r="F286" i="6" s="1"/>
  <c r="D287" i="6"/>
  <c r="F287" i="6" s="1"/>
  <c r="D288" i="6"/>
  <c r="F288" i="6" s="1"/>
  <c r="D289" i="6"/>
  <c r="F289" i="6" s="1"/>
  <c r="D291" i="6"/>
  <c r="F291" i="6" s="1"/>
  <c r="D292" i="6"/>
  <c r="F292" i="6" s="1"/>
  <c r="D293" i="6"/>
  <c r="F293" i="6" s="1"/>
  <c r="D294" i="6"/>
  <c r="F294" i="6" s="1"/>
  <c r="D295" i="6"/>
  <c r="F295" i="6" s="1"/>
  <c r="D296" i="6"/>
  <c r="F296" i="6" s="1"/>
  <c r="D297" i="6"/>
  <c r="F297" i="6" s="1"/>
  <c r="D298" i="6"/>
  <c r="F298" i="6" s="1"/>
  <c r="D300" i="6"/>
  <c r="D301" i="6"/>
  <c r="F301" i="6" s="1"/>
  <c r="D302" i="6"/>
  <c r="F302" i="6" s="1"/>
  <c r="D303" i="6"/>
  <c r="F303" i="6" s="1"/>
  <c r="D304" i="6"/>
  <c r="F304" i="6" s="1"/>
  <c r="D305" i="6"/>
  <c r="F305" i="6" s="1"/>
  <c r="D306" i="6"/>
  <c r="F306" i="6" s="1"/>
  <c r="D307" i="6"/>
  <c r="F307" i="6" s="1"/>
  <c r="D309" i="6"/>
  <c r="F309" i="6" s="1"/>
  <c r="D310" i="6"/>
  <c r="F310" i="6" s="1"/>
  <c r="D311" i="6"/>
  <c r="F311" i="6" s="1"/>
  <c r="D312" i="6"/>
  <c r="F312" i="6" s="1"/>
  <c r="D313" i="6"/>
  <c r="F313" i="6" s="1"/>
  <c r="D314" i="6"/>
  <c r="F314" i="6" s="1"/>
  <c r="D315" i="6"/>
  <c r="F315" i="6" s="1"/>
  <c r="D316" i="6"/>
  <c r="F316" i="6" s="1"/>
  <c r="D4" i="6"/>
  <c r="F4" i="6" s="1"/>
  <c r="D6" i="6"/>
  <c r="F6" i="6" s="1"/>
  <c r="D7" i="6"/>
  <c r="F7" i="6" s="1"/>
  <c r="D8" i="6"/>
  <c r="F8" i="6" s="1"/>
  <c r="D9" i="6"/>
  <c r="F9" i="6" s="1"/>
  <c r="D10" i="6"/>
  <c r="F10" i="6" s="1"/>
  <c r="D3" i="6"/>
  <c r="I3" i="9" l="1"/>
  <c r="K3" i="9"/>
  <c r="G3" i="9"/>
  <c r="M3" i="9"/>
  <c r="E3" i="6"/>
  <c r="F3" i="6"/>
  <c r="G3" i="6" s="1"/>
  <c r="G255" i="6"/>
  <c r="G48" i="6"/>
  <c r="G264" i="6"/>
  <c r="E84" i="6"/>
  <c r="E12" i="6"/>
  <c r="E138" i="6"/>
  <c r="G39" i="6"/>
  <c r="E300" i="6"/>
  <c r="G228" i="6"/>
  <c r="E282" i="6"/>
  <c r="E210" i="6"/>
  <c r="G120" i="6"/>
  <c r="E66" i="6"/>
  <c r="E291" i="6"/>
  <c r="G183" i="6"/>
  <c r="G192" i="6"/>
  <c r="G111" i="6"/>
  <c r="G138" i="6"/>
  <c r="G156" i="6"/>
  <c r="G210" i="6"/>
  <c r="E147" i="6"/>
  <c r="E165" i="6"/>
  <c r="E273" i="6"/>
  <c r="F273" i="6"/>
  <c r="G273" i="6" s="1"/>
  <c r="E201" i="6"/>
  <c r="F201" i="6"/>
  <c r="G201" i="6" s="1"/>
  <c r="F97" i="6"/>
  <c r="G93" i="6" s="1"/>
  <c r="E93" i="6"/>
  <c r="F300" i="6"/>
  <c r="G300" i="6" s="1"/>
  <c r="E219" i="6"/>
  <c r="E255" i="6"/>
  <c r="E183" i="6"/>
  <c r="E111" i="6"/>
  <c r="E39" i="6"/>
  <c r="E75" i="6"/>
  <c r="E228" i="6"/>
  <c r="F66" i="6"/>
  <c r="G66" i="6" s="1"/>
  <c r="G309" i="6"/>
  <c r="G165" i="6"/>
  <c r="G21" i="6"/>
  <c r="G12" i="6"/>
  <c r="F84" i="6"/>
  <c r="G84" i="6" s="1"/>
  <c r="F241" i="6"/>
  <c r="G237" i="6" s="1"/>
  <c r="E237" i="6"/>
  <c r="E129" i="6"/>
  <c r="F129" i="6"/>
  <c r="G129" i="6" s="1"/>
  <c r="E57" i="6"/>
  <c r="F57" i="6"/>
  <c r="G57" i="6" s="1"/>
  <c r="E21" i="6"/>
  <c r="G246" i="6"/>
  <c r="G174" i="6"/>
  <c r="G102" i="6"/>
  <c r="G30" i="6"/>
  <c r="G282" i="6"/>
  <c r="G291" i="6"/>
  <c r="G219" i="6"/>
  <c r="G147" i="6"/>
  <c r="G75" i="6"/>
  <c r="E156" i="6"/>
  <c r="E309" i="6"/>
  <c r="E30" i="6"/>
  <c r="E102" i="6"/>
  <c r="E174" i="6"/>
  <c r="E246" i="6"/>
  <c r="E48" i="6"/>
  <c r="E120" i="6"/>
  <c r="E192" i="6"/>
  <c r="E264" i="6"/>
  <c r="H3" i="6" l="1"/>
</calcChain>
</file>

<file path=xl/sharedStrings.xml><?xml version="1.0" encoding="utf-8"?>
<sst xmlns="http://schemas.openxmlformats.org/spreadsheetml/2006/main" count="733" uniqueCount="85">
  <si>
    <t>Housing Types</t>
  </si>
  <si>
    <t>3 Bedroom</t>
  </si>
  <si>
    <t>Year</t>
  </si>
  <si>
    <t>Average Price</t>
  </si>
  <si>
    <t>All Homes</t>
  </si>
  <si>
    <t>1 Bedroom</t>
  </si>
  <si>
    <t>2 Bedroom</t>
  </si>
  <si>
    <t>4 Bedroom</t>
  </si>
  <si>
    <t>Avg1Bedroom</t>
  </si>
  <si>
    <t>Avg2Bedroom</t>
  </si>
  <si>
    <t>Avg3Bedroom</t>
  </si>
  <si>
    <t>Avg4Bedroom</t>
  </si>
  <si>
    <t>AvgAllHomes</t>
  </si>
  <si>
    <t>DBVal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</si>
  <si>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</si>
  <si>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</si>
  <si>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</si>
  <si>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</si>
  <si>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</si>
  <si>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</si>
  <si>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</si>
  <si>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</si>
  <si>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</si>
  <si>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</si>
  <si>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</si>
  <si>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Alabama</t>
  </si>
  <si>
    <t>Alaska</t>
  </si>
  <si>
    <t>Arizona</t>
  </si>
  <si>
    <t>Arkansas</t>
  </si>
  <si>
    <t>California</t>
  </si>
  <si>
    <t>Colorado</t>
  </si>
  <si>
    <t>Connecticut</t>
  </si>
  <si>
    <t>Delaware</t>
  </si>
  <si>
    <t>DistrictofColumbia</t>
  </si>
  <si>
    <t>Florida</t>
  </si>
  <si>
    <t>Georgia</t>
  </si>
  <si>
    <t>Hawaii</t>
  </si>
  <si>
    <t>Idaho</t>
  </si>
  <si>
    <t>Illinois</t>
  </si>
  <si>
    <t>Indiana</t>
  </si>
  <si>
    <t>Iowa</t>
  </si>
  <si>
    <t>Kansas</t>
  </si>
  <si>
    <t>Kentucky</t>
  </si>
  <si>
    <t>Maine</t>
  </si>
  <si>
    <t>Maryland</t>
  </si>
  <si>
    <t>Massachusetts</t>
  </si>
  <si>
    <t>Michigan</t>
  </si>
  <si>
    <t>Minnesota</t>
  </si>
  <si>
    <t>Missouri</t>
  </si>
  <si>
    <t>Montana</t>
  </si>
  <si>
    <t>Nebraska</t>
  </si>
  <si>
    <t>Nevada</t>
  </si>
  <si>
    <t>NewHampshire</t>
  </si>
  <si>
    <t>NewJersey</t>
  </si>
  <si>
    <t>NorthCarolina</t>
  </si>
  <si>
    <t>Ohio</t>
  </si>
  <si>
    <t>Oklahoma</t>
  </si>
  <si>
    <t>Oregon</t>
  </si>
  <si>
    <t>Pennsylvania</t>
  </si>
  <si>
    <t>RhodeIsland</t>
  </si>
  <si>
    <t>SouthCarolina</t>
  </si>
  <si>
    <t>Tennessee</t>
  </si>
  <si>
    <t>Texas</t>
  </si>
  <si>
    <t>Utah</t>
  </si>
  <si>
    <t>Vermont</t>
  </si>
  <si>
    <t>Virginia</t>
  </si>
  <si>
    <t>Washington</t>
  </si>
  <si>
    <t>WestVirginia</t>
  </si>
  <si>
    <t>Wisconsin</t>
  </si>
  <si>
    <t>Wyoming</t>
  </si>
  <si>
    <t>State</t>
  </si>
  <si>
    <t>Lousiana</t>
  </si>
  <si>
    <t>New Mexico</t>
  </si>
  <si>
    <t>New York</t>
  </si>
  <si>
    <t>Missippi</t>
  </si>
  <si>
    <t>North Dakota</t>
  </si>
  <si>
    <t>South Dakota</t>
  </si>
  <si>
    <t>Date</t>
  </si>
  <si>
    <t>MedianSoldPrice_AllHomes</t>
  </si>
  <si>
    <t>RegionName</t>
  </si>
  <si>
    <t>AvgPrice</t>
  </si>
  <si>
    <t>Max - Maine</t>
  </si>
  <si>
    <t>Min - North Carolina</t>
  </si>
  <si>
    <t>Avg St Dev</t>
  </si>
  <si>
    <t>Avg YoY Change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</si>
</sst>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43" formatCode="_(* #,##0.00_);_(* \(#,##0.00\);_(* &quot;-&quot;??_);_(@_)"/>
    <numFmt numFmtId="167" formatCode="0.00000%"/>
    <numFmt numFmtId="168" formatCode="0.000000%"/>
    <numFmt numFmtId="169" formatCode="0.0000000%"/>
    <numFmt numFmtId="170" formatCode="0.00000000%"/>
    <numFmt numFmtId="172" formatCode="0.0000000000%"/>
  </numFmts>
  <fonts count="3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/>
      <right/>
      <top/>
      <bottom style="medium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1">
    <xf numFmtId="0" fontId="0" fillId="0" borderId="0" xfId="0"/>
    <xf numFmtId="0" fontId="2" fillId="0" borderId="1" xfId="0" applyFont="1" applyBorder="1"/>
    <xf numFmtId="9" fontId="0" fillId="0" borderId="0" xfId="1" applyFont="1"/>
    <xf numFmtId="43" fontId="0" fillId="0" borderId="0" xfId="0" applyNumberFormat="1"/>
    <xf numFmtId="14" fontId="0" fillId="0" borderId="0" xfId="0" applyNumberFormat="1"/>
    <xf numFmtId="167" fontId="0" fillId="0" borderId="0" xfId="1" applyNumberFormat="1" applyFont="1"/>
    <xf numFmtId="168" fontId="0" fillId="0" borderId="0" xfId="1" applyNumberFormat="1" applyFont="1"/>
    <xf numFmtId="169" fontId="0" fillId="0" borderId="0" xfId="1" applyNumberFormat="1" applyFont="1"/>
    <xf numFmtId="1" fontId="0" fillId="0" borderId="0" xfId="1" applyNumberFormat="1" applyFont="1"/>
    <xf numFmtId="170" fontId="0" fillId="0" borderId="0" xfId="1" applyNumberFormat="1" applyFont="1"/>
    <xf numFmtId="172" fontId="0" fillId="0" borderId="0" xfId="1" applyNumberFormat="1" applyFont="1"/>
  </cellXfs>
  <cellStyles count="2">
    <cellStyle name="Normal" xfId="0" builtinId="0"/>
    <cellStyle name="Percent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Average 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Sheet2!$A$2:$A$12</c:f>
              <c:numCache>
                <c:formatCode>General</c:formatCod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</c:numCache>
            </c:numRef>
          </c:xVal>
          <c:yVal>
            <c:numRef>
              <c:f>Sheet2!$B$2:$B$12</c:f>
              <c:numCache>
                <c:formatCode>General</c:formatCode>
                <c:ptCount val="11"/>
                <c:pt idx="0">
                  <c:v>222375</c:v>
                </c:pt>
                <c:pt idx="1">
                  <c:v>210983.33333333299</c:v>
                </c:pt>
                <c:pt idx="2">
                  <c:v>195316.66666666701</c:v>
                </c:pt>
                <c:pt idx="3">
                  <c:v>200675</c:v>
                </c:pt>
                <c:pt idx="4">
                  <c:v>189891.66666666701</c:v>
                </c:pt>
                <c:pt idx="5">
                  <c:v>187925</c:v>
                </c:pt>
                <c:pt idx="6">
                  <c:v>189258.33333333299</c:v>
                </c:pt>
                <c:pt idx="7">
                  <c:v>189033.33333333299</c:v>
                </c:pt>
                <c:pt idx="8">
                  <c:v>196158.33333333299</c:v>
                </c:pt>
                <c:pt idx="9">
                  <c:v>203516.66666666701</c:v>
                </c:pt>
                <c:pt idx="10">
                  <c:v>212075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90E-4478-A886-68B5BB32D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5234568"/>
        <c:axId val="415234896"/>
      </c:scatterChart>
      <c:valAx>
        <c:axId val="41523456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34896"/>
        <c:crosses val="autoZero"/>
        <c:crossBetween val="midCat"/>
        <c:majorUnit val="1"/>
      </c:valAx>
      <c:valAx>
        <c:axId val="41523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52345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defRPr>
            </a:pPr>
            <a:r>
              <a:rPr lang="en-US" sz="1400" b="0" i="0" u="none" strike="noStrike" kern="1200" spc="0" baseline="0">
                <a:solidFill>
                  <a:srgbClr val="595959"/>
                </a:solidFill>
                <a:latin typeface="+mn-lt"/>
                <a:ea typeface="+mn-ea"/>
                <a:cs typeface="+mn-cs"/>
              </a:rPr>
              <a:t>Average Price</a:t>
            </a:r>
          </a:p>
        </c:rich>
      </c:tx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400" b="0" i="0" u="none" strike="noStrike" kern="1200" spc="0" baseline="0">
              <a:solidFill>
                <a:srgbClr val="595959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Sheet2!$A$2:$A$12</c:f>
              <c:numCache>
                <c:formatCode>General</c:formatCod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</c:numCache>
            </c:numRef>
          </c:xVal>
          <c:yVal>
            <c:numRef>
              <c:f>Sheet2!$B$2:$B$12</c:f>
              <c:numCache>
                <c:formatCode>General</c:formatCode>
                <c:ptCount val="11"/>
                <c:pt idx="0">
                  <c:v>222375</c:v>
                </c:pt>
                <c:pt idx="1">
                  <c:v>210983.33333333299</c:v>
                </c:pt>
                <c:pt idx="2">
                  <c:v>195316.66666666701</c:v>
                </c:pt>
                <c:pt idx="3">
                  <c:v>200675</c:v>
                </c:pt>
                <c:pt idx="4">
                  <c:v>189891.66666666701</c:v>
                </c:pt>
                <c:pt idx="5">
                  <c:v>187925</c:v>
                </c:pt>
                <c:pt idx="6">
                  <c:v>189258.33333333299</c:v>
                </c:pt>
                <c:pt idx="7">
                  <c:v>189033.33333333299</c:v>
                </c:pt>
                <c:pt idx="8">
                  <c:v>196158.33333333299</c:v>
                </c:pt>
                <c:pt idx="9">
                  <c:v>203516.66666666701</c:v>
                </c:pt>
                <c:pt idx="10">
                  <c:v>212075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B4-48F9-A6F4-6146429FA9F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12667720"/>
        <c:axId val="412667392"/>
      </c:scatterChart>
      <c:valAx>
        <c:axId val="41266772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67392"/>
        <c:crosses val="autoZero"/>
        <c:crossBetween val="midCat"/>
        <c:majorUnit val="1"/>
      </c:valAx>
      <c:valAx>
        <c:axId val="4126673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126677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Sheet6!$B$1</c:f>
              <c:strCache>
                <c:ptCount val="1"/>
                <c:pt idx="0">
                  <c:v>MedianSoldPrice_AllHomes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Sheet6!$A$2:$A$244</c:f>
              <c:numCache>
                <c:formatCode>m/d/yyyy</c:formatCode>
                <c:ptCount val="243"/>
                <c:pt idx="0">
                  <c:v>35185</c:v>
                </c:pt>
                <c:pt idx="1">
                  <c:v>35216</c:v>
                </c:pt>
                <c:pt idx="2">
                  <c:v>35246</c:v>
                </c:pt>
                <c:pt idx="3">
                  <c:v>35277</c:v>
                </c:pt>
                <c:pt idx="4">
                  <c:v>35308</c:v>
                </c:pt>
                <c:pt idx="5">
                  <c:v>35338</c:v>
                </c:pt>
                <c:pt idx="6">
                  <c:v>35369</c:v>
                </c:pt>
                <c:pt idx="7">
                  <c:v>35399</c:v>
                </c:pt>
                <c:pt idx="8">
                  <c:v>35430</c:v>
                </c:pt>
                <c:pt idx="9">
                  <c:v>35461</c:v>
                </c:pt>
                <c:pt idx="10">
                  <c:v>35489</c:v>
                </c:pt>
                <c:pt idx="11">
                  <c:v>35520</c:v>
                </c:pt>
                <c:pt idx="12">
                  <c:v>35550</c:v>
                </c:pt>
                <c:pt idx="13">
                  <c:v>35581</c:v>
                </c:pt>
                <c:pt idx="14">
                  <c:v>35611</c:v>
                </c:pt>
                <c:pt idx="15">
                  <c:v>35642</c:v>
                </c:pt>
                <c:pt idx="16">
                  <c:v>35673</c:v>
                </c:pt>
                <c:pt idx="17">
                  <c:v>35703</c:v>
                </c:pt>
                <c:pt idx="18">
                  <c:v>35734</c:v>
                </c:pt>
                <c:pt idx="19">
                  <c:v>35764</c:v>
                </c:pt>
                <c:pt idx="20">
                  <c:v>35795</c:v>
                </c:pt>
                <c:pt idx="21">
                  <c:v>35826</c:v>
                </c:pt>
                <c:pt idx="22">
                  <c:v>35854</c:v>
                </c:pt>
                <c:pt idx="23">
                  <c:v>35885</c:v>
                </c:pt>
                <c:pt idx="24">
                  <c:v>35915</c:v>
                </c:pt>
                <c:pt idx="25">
                  <c:v>35946</c:v>
                </c:pt>
                <c:pt idx="26">
                  <c:v>35976</c:v>
                </c:pt>
                <c:pt idx="27">
                  <c:v>36007</c:v>
                </c:pt>
                <c:pt idx="28">
                  <c:v>36038</c:v>
                </c:pt>
                <c:pt idx="29">
                  <c:v>36068</c:v>
                </c:pt>
                <c:pt idx="30">
                  <c:v>36099</c:v>
                </c:pt>
                <c:pt idx="31">
                  <c:v>36129</c:v>
                </c:pt>
                <c:pt idx="32">
                  <c:v>36160</c:v>
                </c:pt>
                <c:pt idx="33">
                  <c:v>36191</c:v>
                </c:pt>
                <c:pt idx="34">
                  <c:v>36219</c:v>
                </c:pt>
                <c:pt idx="35">
                  <c:v>36250</c:v>
                </c:pt>
                <c:pt idx="36">
                  <c:v>36280</c:v>
                </c:pt>
                <c:pt idx="37">
                  <c:v>36311</c:v>
                </c:pt>
                <c:pt idx="38">
                  <c:v>36341</c:v>
                </c:pt>
                <c:pt idx="39">
                  <c:v>36372</c:v>
                </c:pt>
                <c:pt idx="40">
                  <c:v>36403</c:v>
                </c:pt>
                <c:pt idx="41">
                  <c:v>36433</c:v>
                </c:pt>
                <c:pt idx="42">
                  <c:v>36464</c:v>
                </c:pt>
                <c:pt idx="43">
                  <c:v>36494</c:v>
                </c:pt>
                <c:pt idx="44">
                  <c:v>36525</c:v>
                </c:pt>
                <c:pt idx="45">
                  <c:v>36556</c:v>
                </c:pt>
                <c:pt idx="46">
                  <c:v>36585</c:v>
                </c:pt>
                <c:pt idx="47">
                  <c:v>36616</c:v>
                </c:pt>
                <c:pt idx="48">
                  <c:v>36646</c:v>
                </c:pt>
                <c:pt idx="49">
                  <c:v>36677</c:v>
                </c:pt>
                <c:pt idx="50">
                  <c:v>36707</c:v>
                </c:pt>
                <c:pt idx="51">
                  <c:v>36738</c:v>
                </c:pt>
                <c:pt idx="52">
                  <c:v>36769</c:v>
                </c:pt>
                <c:pt idx="53">
                  <c:v>36799</c:v>
                </c:pt>
                <c:pt idx="54">
                  <c:v>36830</c:v>
                </c:pt>
                <c:pt idx="55">
                  <c:v>36860</c:v>
                </c:pt>
                <c:pt idx="56">
                  <c:v>36891</c:v>
                </c:pt>
                <c:pt idx="57">
                  <c:v>36922</c:v>
                </c:pt>
                <c:pt idx="58">
                  <c:v>36950</c:v>
                </c:pt>
                <c:pt idx="59">
                  <c:v>36981</c:v>
                </c:pt>
                <c:pt idx="60">
                  <c:v>37011</c:v>
                </c:pt>
                <c:pt idx="61">
                  <c:v>37042</c:v>
                </c:pt>
                <c:pt idx="62">
                  <c:v>37072</c:v>
                </c:pt>
                <c:pt idx="63">
                  <c:v>37103</c:v>
                </c:pt>
                <c:pt idx="64">
                  <c:v>37134</c:v>
                </c:pt>
                <c:pt idx="65">
                  <c:v>37164</c:v>
                </c:pt>
                <c:pt idx="66">
                  <c:v>37195</c:v>
                </c:pt>
                <c:pt idx="67">
                  <c:v>37225</c:v>
                </c:pt>
                <c:pt idx="68">
                  <c:v>37256</c:v>
                </c:pt>
                <c:pt idx="69">
                  <c:v>37287</c:v>
                </c:pt>
                <c:pt idx="70">
                  <c:v>37315</c:v>
                </c:pt>
                <c:pt idx="71">
                  <c:v>37346</c:v>
                </c:pt>
                <c:pt idx="72">
                  <c:v>37376</c:v>
                </c:pt>
                <c:pt idx="73">
                  <c:v>37407</c:v>
                </c:pt>
                <c:pt idx="74">
                  <c:v>37437</c:v>
                </c:pt>
                <c:pt idx="75">
                  <c:v>37468</c:v>
                </c:pt>
                <c:pt idx="76">
                  <c:v>37499</c:v>
                </c:pt>
                <c:pt idx="77">
                  <c:v>37529</c:v>
                </c:pt>
                <c:pt idx="78">
                  <c:v>37560</c:v>
                </c:pt>
                <c:pt idx="79">
                  <c:v>37590</c:v>
                </c:pt>
                <c:pt idx="80">
                  <c:v>37621</c:v>
                </c:pt>
                <c:pt idx="81">
                  <c:v>37652</c:v>
                </c:pt>
                <c:pt idx="82">
                  <c:v>37680</c:v>
                </c:pt>
                <c:pt idx="83">
                  <c:v>37711</c:v>
                </c:pt>
                <c:pt idx="84">
                  <c:v>37741</c:v>
                </c:pt>
                <c:pt idx="85">
                  <c:v>37772</c:v>
                </c:pt>
                <c:pt idx="86">
                  <c:v>37802</c:v>
                </c:pt>
                <c:pt idx="87">
                  <c:v>37833</c:v>
                </c:pt>
                <c:pt idx="88">
                  <c:v>37864</c:v>
                </c:pt>
                <c:pt idx="89">
                  <c:v>37894</c:v>
                </c:pt>
                <c:pt idx="90">
                  <c:v>37925</c:v>
                </c:pt>
                <c:pt idx="91">
                  <c:v>37955</c:v>
                </c:pt>
                <c:pt idx="92">
                  <c:v>37986</c:v>
                </c:pt>
                <c:pt idx="93">
                  <c:v>38017</c:v>
                </c:pt>
                <c:pt idx="94">
                  <c:v>38046</c:v>
                </c:pt>
                <c:pt idx="95">
                  <c:v>38077</c:v>
                </c:pt>
                <c:pt idx="96">
                  <c:v>38107</c:v>
                </c:pt>
                <c:pt idx="97">
                  <c:v>38138</c:v>
                </c:pt>
                <c:pt idx="98">
                  <c:v>38168</c:v>
                </c:pt>
                <c:pt idx="99">
                  <c:v>38199</c:v>
                </c:pt>
                <c:pt idx="100">
                  <c:v>38230</c:v>
                </c:pt>
                <c:pt idx="101">
                  <c:v>38260</c:v>
                </c:pt>
                <c:pt idx="102">
                  <c:v>38291</c:v>
                </c:pt>
                <c:pt idx="103">
                  <c:v>38321</c:v>
                </c:pt>
                <c:pt idx="104">
                  <c:v>38352</c:v>
                </c:pt>
                <c:pt idx="105">
                  <c:v>38383</c:v>
                </c:pt>
                <c:pt idx="106">
                  <c:v>38411</c:v>
                </c:pt>
                <c:pt idx="107">
                  <c:v>38442</c:v>
                </c:pt>
                <c:pt idx="108">
                  <c:v>38472</c:v>
                </c:pt>
                <c:pt idx="109">
                  <c:v>38503</c:v>
                </c:pt>
                <c:pt idx="110">
                  <c:v>38533</c:v>
                </c:pt>
                <c:pt idx="111">
                  <c:v>38564</c:v>
                </c:pt>
                <c:pt idx="112">
                  <c:v>38595</c:v>
                </c:pt>
                <c:pt idx="113">
                  <c:v>38625</c:v>
                </c:pt>
                <c:pt idx="114">
                  <c:v>38656</c:v>
                </c:pt>
                <c:pt idx="115">
                  <c:v>38686</c:v>
                </c:pt>
                <c:pt idx="116">
                  <c:v>38717</c:v>
                </c:pt>
                <c:pt idx="117">
                  <c:v>38748</c:v>
                </c:pt>
                <c:pt idx="118">
                  <c:v>38776</c:v>
                </c:pt>
                <c:pt idx="119">
                  <c:v>38807</c:v>
                </c:pt>
                <c:pt idx="120">
                  <c:v>38837</c:v>
                </c:pt>
                <c:pt idx="121">
                  <c:v>38868</c:v>
                </c:pt>
                <c:pt idx="122">
                  <c:v>38898</c:v>
                </c:pt>
                <c:pt idx="123">
                  <c:v>38929</c:v>
                </c:pt>
                <c:pt idx="124">
                  <c:v>38960</c:v>
                </c:pt>
                <c:pt idx="125">
                  <c:v>38990</c:v>
                </c:pt>
                <c:pt idx="126">
                  <c:v>39021</c:v>
                </c:pt>
                <c:pt idx="127">
                  <c:v>39051</c:v>
                </c:pt>
                <c:pt idx="128">
                  <c:v>39082</c:v>
                </c:pt>
                <c:pt idx="129">
                  <c:v>39113</c:v>
                </c:pt>
                <c:pt idx="130">
                  <c:v>39141</c:v>
                </c:pt>
                <c:pt idx="131">
                  <c:v>39172</c:v>
                </c:pt>
                <c:pt idx="132">
                  <c:v>39202</c:v>
                </c:pt>
                <c:pt idx="133">
                  <c:v>39233</c:v>
                </c:pt>
                <c:pt idx="134">
                  <c:v>39263</c:v>
                </c:pt>
                <c:pt idx="135">
                  <c:v>39294</c:v>
                </c:pt>
                <c:pt idx="136">
                  <c:v>39325</c:v>
                </c:pt>
                <c:pt idx="137">
                  <c:v>39355</c:v>
                </c:pt>
                <c:pt idx="138">
                  <c:v>39386</c:v>
                </c:pt>
                <c:pt idx="139">
                  <c:v>39416</c:v>
                </c:pt>
                <c:pt idx="140">
                  <c:v>39447</c:v>
                </c:pt>
                <c:pt idx="141">
                  <c:v>39478</c:v>
                </c:pt>
                <c:pt idx="142">
                  <c:v>39507</c:v>
                </c:pt>
                <c:pt idx="143">
                  <c:v>39538</c:v>
                </c:pt>
                <c:pt idx="144">
                  <c:v>39568</c:v>
                </c:pt>
                <c:pt idx="145">
                  <c:v>39599</c:v>
                </c:pt>
                <c:pt idx="146">
                  <c:v>39629</c:v>
                </c:pt>
                <c:pt idx="147">
                  <c:v>39660</c:v>
                </c:pt>
                <c:pt idx="148">
                  <c:v>39691</c:v>
                </c:pt>
                <c:pt idx="149">
                  <c:v>39721</c:v>
                </c:pt>
                <c:pt idx="150">
                  <c:v>39752</c:v>
                </c:pt>
                <c:pt idx="151">
                  <c:v>39782</c:v>
                </c:pt>
                <c:pt idx="152">
                  <c:v>39813</c:v>
                </c:pt>
                <c:pt idx="153">
                  <c:v>39844</c:v>
                </c:pt>
                <c:pt idx="154">
                  <c:v>39872</c:v>
                </c:pt>
                <c:pt idx="155">
                  <c:v>39903</c:v>
                </c:pt>
                <c:pt idx="156">
                  <c:v>39933</c:v>
                </c:pt>
                <c:pt idx="157">
                  <c:v>39964</c:v>
                </c:pt>
                <c:pt idx="158">
                  <c:v>39994</c:v>
                </c:pt>
                <c:pt idx="159">
                  <c:v>40025</c:v>
                </c:pt>
                <c:pt idx="160">
                  <c:v>40056</c:v>
                </c:pt>
                <c:pt idx="161">
                  <c:v>40086</c:v>
                </c:pt>
                <c:pt idx="162">
                  <c:v>40117</c:v>
                </c:pt>
                <c:pt idx="163">
                  <c:v>40147</c:v>
                </c:pt>
                <c:pt idx="164">
                  <c:v>40178</c:v>
                </c:pt>
                <c:pt idx="165">
                  <c:v>40209</c:v>
                </c:pt>
                <c:pt idx="166">
                  <c:v>40237</c:v>
                </c:pt>
                <c:pt idx="167">
                  <c:v>40268</c:v>
                </c:pt>
                <c:pt idx="168">
                  <c:v>40298</c:v>
                </c:pt>
                <c:pt idx="169">
                  <c:v>40329</c:v>
                </c:pt>
                <c:pt idx="170">
                  <c:v>40359</c:v>
                </c:pt>
                <c:pt idx="171">
                  <c:v>40390</c:v>
                </c:pt>
                <c:pt idx="172">
                  <c:v>40421</c:v>
                </c:pt>
                <c:pt idx="173">
                  <c:v>40451</c:v>
                </c:pt>
                <c:pt idx="174">
                  <c:v>40482</c:v>
                </c:pt>
                <c:pt idx="175">
                  <c:v>40512</c:v>
                </c:pt>
                <c:pt idx="176">
                  <c:v>40543</c:v>
                </c:pt>
                <c:pt idx="177">
                  <c:v>40574</c:v>
                </c:pt>
                <c:pt idx="178">
                  <c:v>40602</c:v>
                </c:pt>
                <c:pt idx="179">
                  <c:v>40633</c:v>
                </c:pt>
                <c:pt idx="180">
                  <c:v>40663</c:v>
                </c:pt>
                <c:pt idx="181">
                  <c:v>40694</c:v>
                </c:pt>
                <c:pt idx="182">
                  <c:v>40724</c:v>
                </c:pt>
                <c:pt idx="183">
                  <c:v>40755</c:v>
                </c:pt>
                <c:pt idx="184">
                  <c:v>40786</c:v>
                </c:pt>
                <c:pt idx="185">
                  <c:v>40816</c:v>
                </c:pt>
                <c:pt idx="186">
                  <c:v>40847</c:v>
                </c:pt>
                <c:pt idx="187">
                  <c:v>40877</c:v>
                </c:pt>
                <c:pt idx="188">
                  <c:v>40908</c:v>
                </c:pt>
                <c:pt idx="189">
                  <c:v>40939</c:v>
                </c:pt>
                <c:pt idx="190">
                  <c:v>40968</c:v>
                </c:pt>
                <c:pt idx="191">
                  <c:v>40999</c:v>
                </c:pt>
                <c:pt idx="192">
                  <c:v>41029</c:v>
                </c:pt>
                <c:pt idx="193">
                  <c:v>41060</c:v>
                </c:pt>
                <c:pt idx="194">
                  <c:v>41090</c:v>
                </c:pt>
                <c:pt idx="195">
                  <c:v>41121</c:v>
                </c:pt>
                <c:pt idx="196">
                  <c:v>41152</c:v>
                </c:pt>
                <c:pt idx="197">
                  <c:v>41182</c:v>
                </c:pt>
                <c:pt idx="198">
                  <c:v>41213</c:v>
                </c:pt>
                <c:pt idx="199">
                  <c:v>41243</c:v>
                </c:pt>
                <c:pt idx="200">
                  <c:v>41274</c:v>
                </c:pt>
                <c:pt idx="201">
                  <c:v>41305</c:v>
                </c:pt>
                <c:pt idx="202">
                  <c:v>41333</c:v>
                </c:pt>
                <c:pt idx="203">
                  <c:v>41364</c:v>
                </c:pt>
                <c:pt idx="204">
                  <c:v>41394</c:v>
                </c:pt>
                <c:pt idx="205">
                  <c:v>41425</c:v>
                </c:pt>
                <c:pt idx="206">
                  <c:v>41455</c:v>
                </c:pt>
                <c:pt idx="207">
                  <c:v>41486</c:v>
                </c:pt>
                <c:pt idx="208">
                  <c:v>41517</c:v>
                </c:pt>
                <c:pt idx="209">
                  <c:v>41547</c:v>
                </c:pt>
                <c:pt idx="210">
                  <c:v>41578</c:v>
                </c:pt>
                <c:pt idx="211">
                  <c:v>41608</c:v>
                </c:pt>
                <c:pt idx="212">
                  <c:v>41639</c:v>
                </c:pt>
                <c:pt idx="213">
                  <c:v>41670</c:v>
                </c:pt>
                <c:pt idx="214">
                  <c:v>41698</c:v>
                </c:pt>
                <c:pt idx="215">
                  <c:v>41729</c:v>
                </c:pt>
                <c:pt idx="216">
                  <c:v>41759</c:v>
                </c:pt>
                <c:pt idx="217">
                  <c:v>41790</c:v>
                </c:pt>
                <c:pt idx="218">
                  <c:v>41820</c:v>
                </c:pt>
                <c:pt idx="219">
                  <c:v>41851</c:v>
                </c:pt>
                <c:pt idx="220">
                  <c:v>41882</c:v>
                </c:pt>
                <c:pt idx="221">
                  <c:v>41912</c:v>
                </c:pt>
                <c:pt idx="222">
                  <c:v>41943</c:v>
                </c:pt>
                <c:pt idx="223">
                  <c:v>41973</c:v>
                </c:pt>
                <c:pt idx="224">
                  <c:v>42004</c:v>
                </c:pt>
                <c:pt idx="225">
                  <c:v>42035</c:v>
                </c:pt>
                <c:pt idx="226">
                  <c:v>42063</c:v>
                </c:pt>
                <c:pt idx="227">
                  <c:v>42094</c:v>
                </c:pt>
                <c:pt idx="228">
                  <c:v>42124</c:v>
                </c:pt>
                <c:pt idx="229">
                  <c:v>42155</c:v>
                </c:pt>
                <c:pt idx="230">
                  <c:v>42185</c:v>
                </c:pt>
                <c:pt idx="231">
                  <c:v>42216</c:v>
                </c:pt>
                <c:pt idx="232">
                  <c:v>42247</c:v>
                </c:pt>
                <c:pt idx="233">
                  <c:v>42277</c:v>
                </c:pt>
                <c:pt idx="234">
                  <c:v>42308</c:v>
                </c:pt>
                <c:pt idx="235">
                  <c:v>42338</c:v>
                </c:pt>
                <c:pt idx="236">
                  <c:v>42369</c:v>
                </c:pt>
                <c:pt idx="237">
                  <c:v>42400</c:v>
                </c:pt>
                <c:pt idx="238">
                  <c:v>42429</c:v>
                </c:pt>
                <c:pt idx="239">
                  <c:v>42460</c:v>
                </c:pt>
                <c:pt idx="240">
                  <c:v>42490</c:v>
                </c:pt>
                <c:pt idx="241">
                  <c:v>42521</c:v>
                </c:pt>
                <c:pt idx="242">
                  <c:v>42551</c:v>
                </c:pt>
              </c:numCache>
            </c:numRef>
          </c:xVal>
          <c:yVal>
            <c:numRef>
              <c:f>Sheet6!$B$2:$B$244</c:f>
              <c:numCache>
                <c:formatCode>General</c:formatCode>
                <c:ptCount val="243"/>
                <c:pt idx="0">
                  <c:v>86725</c:v>
                </c:pt>
                <c:pt idx="1">
                  <c:v>82900</c:v>
                </c:pt>
                <c:pt idx="2">
                  <c:v>79237.5</c:v>
                </c:pt>
                <c:pt idx="3">
                  <c:v>76912.5</c:v>
                </c:pt>
                <c:pt idx="4">
                  <c:v>79340</c:v>
                </c:pt>
                <c:pt idx="5">
                  <c:v>77735</c:v>
                </c:pt>
                <c:pt idx="6">
                  <c:v>74665</c:v>
                </c:pt>
                <c:pt idx="7">
                  <c:v>72185</c:v>
                </c:pt>
                <c:pt idx="8">
                  <c:v>69575</c:v>
                </c:pt>
                <c:pt idx="9">
                  <c:v>70100</c:v>
                </c:pt>
                <c:pt idx="10">
                  <c:v>72650</c:v>
                </c:pt>
                <c:pt idx="11">
                  <c:v>76975</c:v>
                </c:pt>
                <c:pt idx="12">
                  <c:v>81700</c:v>
                </c:pt>
                <c:pt idx="13">
                  <c:v>86215</c:v>
                </c:pt>
                <c:pt idx="14">
                  <c:v>84430</c:v>
                </c:pt>
                <c:pt idx="15">
                  <c:v>83231.5</c:v>
                </c:pt>
                <c:pt idx="16">
                  <c:v>82463.5</c:v>
                </c:pt>
                <c:pt idx="17">
                  <c:v>81325</c:v>
                </c:pt>
                <c:pt idx="18">
                  <c:v>82375</c:v>
                </c:pt>
                <c:pt idx="19">
                  <c:v>86400</c:v>
                </c:pt>
                <c:pt idx="20">
                  <c:v>90600</c:v>
                </c:pt>
                <c:pt idx="21">
                  <c:v>89775</c:v>
                </c:pt>
                <c:pt idx="22">
                  <c:v>91507.5</c:v>
                </c:pt>
                <c:pt idx="23">
                  <c:v>100982.5</c:v>
                </c:pt>
                <c:pt idx="24">
                  <c:v>99135</c:v>
                </c:pt>
                <c:pt idx="25">
                  <c:v>97835</c:v>
                </c:pt>
                <c:pt idx="26">
                  <c:v>96040</c:v>
                </c:pt>
                <c:pt idx="27">
                  <c:v>95690</c:v>
                </c:pt>
                <c:pt idx="28">
                  <c:v>95885</c:v>
                </c:pt>
                <c:pt idx="29">
                  <c:v>95525</c:v>
                </c:pt>
                <c:pt idx="30">
                  <c:v>96700</c:v>
                </c:pt>
                <c:pt idx="31">
                  <c:v>96132.5</c:v>
                </c:pt>
                <c:pt idx="32">
                  <c:v>96012.5</c:v>
                </c:pt>
                <c:pt idx="33">
                  <c:v>95380</c:v>
                </c:pt>
                <c:pt idx="34">
                  <c:v>96150</c:v>
                </c:pt>
                <c:pt idx="35">
                  <c:v>96950</c:v>
                </c:pt>
                <c:pt idx="36">
                  <c:v>97675</c:v>
                </c:pt>
                <c:pt idx="37">
                  <c:v>101375</c:v>
                </c:pt>
                <c:pt idx="38">
                  <c:v>104481.5</c:v>
                </c:pt>
                <c:pt idx="39">
                  <c:v>106381.55</c:v>
                </c:pt>
                <c:pt idx="40">
                  <c:v>104369.95</c:v>
                </c:pt>
                <c:pt idx="41">
                  <c:v>99200</c:v>
                </c:pt>
                <c:pt idx="42">
                  <c:v>98240</c:v>
                </c:pt>
                <c:pt idx="43">
                  <c:v>95292.5</c:v>
                </c:pt>
                <c:pt idx="44">
                  <c:v>93542.5</c:v>
                </c:pt>
                <c:pt idx="45">
                  <c:v>94900</c:v>
                </c:pt>
                <c:pt idx="46">
                  <c:v>93680</c:v>
                </c:pt>
                <c:pt idx="47">
                  <c:v>95120</c:v>
                </c:pt>
                <c:pt idx="48">
                  <c:v>96325</c:v>
                </c:pt>
                <c:pt idx="49">
                  <c:v>99605</c:v>
                </c:pt>
                <c:pt idx="50">
                  <c:v>103795</c:v>
                </c:pt>
                <c:pt idx="51">
                  <c:v>107054</c:v>
                </c:pt>
                <c:pt idx="52">
                  <c:v>106062.8</c:v>
                </c:pt>
                <c:pt idx="53">
                  <c:v>102691.2</c:v>
                </c:pt>
                <c:pt idx="54">
                  <c:v>100600</c:v>
                </c:pt>
                <c:pt idx="55">
                  <c:v>100000</c:v>
                </c:pt>
                <c:pt idx="56">
                  <c:v>96619.5</c:v>
                </c:pt>
                <c:pt idx="57">
                  <c:v>95983.65</c:v>
                </c:pt>
                <c:pt idx="58">
                  <c:v>99330.85</c:v>
                </c:pt>
                <c:pt idx="59">
                  <c:v>102555</c:v>
                </c:pt>
                <c:pt idx="60">
                  <c:v>105712.5</c:v>
                </c:pt>
                <c:pt idx="61">
                  <c:v>108253.75</c:v>
                </c:pt>
                <c:pt idx="62">
                  <c:v>112123.75</c:v>
                </c:pt>
                <c:pt idx="63">
                  <c:v>113639.5</c:v>
                </c:pt>
                <c:pt idx="64">
                  <c:v>112240.15</c:v>
                </c:pt>
                <c:pt idx="65">
                  <c:v>111681.25</c:v>
                </c:pt>
                <c:pt idx="66">
                  <c:v>105697.1</c:v>
                </c:pt>
                <c:pt idx="67">
                  <c:v>103015</c:v>
                </c:pt>
                <c:pt idx="68">
                  <c:v>103302.5</c:v>
                </c:pt>
                <c:pt idx="69">
                  <c:v>102297.25</c:v>
                </c:pt>
                <c:pt idx="70">
                  <c:v>103422.5</c:v>
                </c:pt>
                <c:pt idx="71">
                  <c:v>103942.45</c:v>
                </c:pt>
                <c:pt idx="72">
                  <c:v>105732.3</c:v>
                </c:pt>
                <c:pt idx="73">
                  <c:v>109530</c:v>
                </c:pt>
                <c:pt idx="74">
                  <c:v>113215</c:v>
                </c:pt>
                <c:pt idx="75">
                  <c:v>115790</c:v>
                </c:pt>
                <c:pt idx="76">
                  <c:v>114495</c:v>
                </c:pt>
                <c:pt idx="77">
                  <c:v>110425</c:v>
                </c:pt>
                <c:pt idx="78">
                  <c:v>106380</c:v>
                </c:pt>
                <c:pt idx="79">
                  <c:v>105438.5</c:v>
                </c:pt>
                <c:pt idx="80">
                  <c:v>105631.5</c:v>
                </c:pt>
                <c:pt idx="81">
                  <c:v>103177.5</c:v>
                </c:pt>
                <c:pt idx="82">
                  <c:v>104044.25</c:v>
                </c:pt>
                <c:pt idx="83">
                  <c:v>107168.25</c:v>
                </c:pt>
                <c:pt idx="84">
                  <c:v>110900</c:v>
                </c:pt>
                <c:pt idx="85">
                  <c:v>114389</c:v>
                </c:pt>
                <c:pt idx="86">
                  <c:v>116787.3</c:v>
                </c:pt>
                <c:pt idx="87">
                  <c:v>118751.7</c:v>
                </c:pt>
                <c:pt idx="88">
                  <c:v>121415</c:v>
                </c:pt>
                <c:pt idx="89">
                  <c:v>122460</c:v>
                </c:pt>
                <c:pt idx="90">
                  <c:v>119650</c:v>
                </c:pt>
                <c:pt idx="91">
                  <c:v>117100</c:v>
                </c:pt>
                <c:pt idx="92">
                  <c:v>116540</c:v>
                </c:pt>
                <c:pt idx="93">
                  <c:v>114835</c:v>
                </c:pt>
                <c:pt idx="94">
                  <c:v>117350</c:v>
                </c:pt>
                <c:pt idx="95">
                  <c:v>117625</c:v>
                </c:pt>
                <c:pt idx="96">
                  <c:v>121525</c:v>
                </c:pt>
                <c:pt idx="97">
                  <c:v>128750</c:v>
                </c:pt>
                <c:pt idx="98">
                  <c:v>134590</c:v>
                </c:pt>
                <c:pt idx="99">
                  <c:v>134022.5</c:v>
                </c:pt>
                <c:pt idx="100">
                  <c:v>129562.5</c:v>
                </c:pt>
                <c:pt idx="101">
                  <c:v>127650</c:v>
                </c:pt>
                <c:pt idx="102">
                  <c:v>124337</c:v>
                </c:pt>
                <c:pt idx="103">
                  <c:v>123683</c:v>
                </c:pt>
                <c:pt idx="104">
                  <c:v>125075</c:v>
                </c:pt>
                <c:pt idx="105">
                  <c:v>126840</c:v>
                </c:pt>
                <c:pt idx="106">
                  <c:v>126109</c:v>
                </c:pt>
                <c:pt idx="107">
                  <c:v>126775.05</c:v>
                </c:pt>
                <c:pt idx="108">
                  <c:v>129983.95</c:v>
                </c:pt>
                <c:pt idx="109">
                  <c:v>134245</c:v>
                </c:pt>
                <c:pt idx="110">
                  <c:v>138407</c:v>
                </c:pt>
                <c:pt idx="111">
                  <c:v>140988</c:v>
                </c:pt>
                <c:pt idx="112">
                  <c:v>143784.5</c:v>
                </c:pt>
                <c:pt idx="113">
                  <c:v>143478</c:v>
                </c:pt>
                <c:pt idx="114">
                  <c:v>143513.5</c:v>
                </c:pt>
                <c:pt idx="115">
                  <c:v>140949.1</c:v>
                </c:pt>
                <c:pt idx="116">
                  <c:v>138222.9</c:v>
                </c:pt>
                <c:pt idx="117">
                  <c:v>138498</c:v>
                </c:pt>
                <c:pt idx="118">
                  <c:v>142445</c:v>
                </c:pt>
                <c:pt idx="119">
                  <c:v>145300</c:v>
                </c:pt>
                <c:pt idx="120">
                  <c:v>145390</c:v>
                </c:pt>
                <c:pt idx="121">
                  <c:v>147557</c:v>
                </c:pt>
                <c:pt idx="122">
                  <c:v>150390.39999999999</c:v>
                </c:pt>
                <c:pt idx="123">
                  <c:v>153421.6</c:v>
                </c:pt>
                <c:pt idx="124">
                  <c:v>152228</c:v>
                </c:pt>
                <c:pt idx="125">
                  <c:v>148518.35</c:v>
                </c:pt>
                <c:pt idx="126">
                  <c:v>147409.65</c:v>
                </c:pt>
                <c:pt idx="127">
                  <c:v>145960</c:v>
                </c:pt>
                <c:pt idx="128">
                  <c:v>145295</c:v>
                </c:pt>
                <c:pt idx="129">
                  <c:v>145545</c:v>
                </c:pt>
                <c:pt idx="130">
                  <c:v>148335.5</c:v>
                </c:pt>
                <c:pt idx="131">
                  <c:v>146726.6</c:v>
                </c:pt>
                <c:pt idx="132">
                  <c:v>148023.9</c:v>
                </c:pt>
                <c:pt idx="133">
                  <c:v>151550</c:v>
                </c:pt>
                <c:pt idx="134">
                  <c:v>158715</c:v>
                </c:pt>
                <c:pt idx="135">
                  <c:v>165135</c:v>
                </c:pt>
                <c:pt idx="136">
                  <c:v>168200</c:v>
                </c:pt>
                <c:pt idx="137">
                  <c:v>164043</c:v>
                </c:pt>
                <c:pt idx="138">
                  <c:v>156039.6</c:v>
                </c:pt>
                <c:pt idx="139">
                  <c:v>151623.4</c:v>
                </c:pt>
                <c:pt idx="140">
                  <c:v>150266</c:v>
                </c:pt>
                <c:pt idx="141">
                  <c:v>150088.70000000001</c:v>
                </c:pt>
                <c:pt idx="142">
                  <c:v>148992.29999999999</c:v>
                </c:pt>
                <c:pt idx="143">
                  <c:v>149660</c:v>
                </c:pt>
                <c:pt idx="144">
                  <c:v>151912.5</c:v>
                </c:pt>
                <c:pt idx="145">
                  <c:v>154677.5</c:v>
                </c:pt>
                <c:pt idx="146">
                  <c:v>158825</c:v>
                </c:pt>
                <c:pt idx="147">
                  <c:v>160300</c:v>
                </c:pt>
                <c:pt idx="148">
                  <c:v>155398</c:v>
                </c:pt>
                <c:pt idx="149">
                  <c:v>149542</c:v>
                </c:pt>
                <c:pt idx="150">
                  <c:v>148600</c:v>
                </c:pt>
                <c:pt idx="151">
                  <c:v>147375</c:v>
                </c:pt>
                <c:pt idx="152">
                  <c:v>147582.5</c:v>
                </c:pt>
                <c:pt idx="153">
                  <c:v>143692.5</c:v>
                </c:pt>
                <c:pt idx="154">
                  <c:v>144013.5</c:v>
                </c:pt>
                <c:pt idx="155">
                  <c:v>144469.45000000001</c:v>
                </c:pt>
                <c:pt idx="156">
                  <c:v>144594.04999999999</c:v>
                </c:pt>
                <c:pt idx="157">
                  <c:v>143105</c:v>
                </c:pt>
                <c:pt idx="158">
                  <c:v>147189.5</c:v>
                </c:pt>
                <c:pt idx="159">
                  <c:v>149255</c:v>
                </c:pt>
                <c:pt idx="160">
                  <c:v>145130</c:v>
                </c:pt>
                <c:pt idx="161">
                  <c:v>145278.25</c:v>
                </c:pt>
                <c:pt idx="162">
                  <c:v>140137.5</c:v>
                </c:pt>
                <c:pt idx="163">
                  <c:v>140596.25</c:v>
                </c:pt>
                <c:pt idx="164">
                  <c:v>137489.29999999999</c:v>
                </c:pt>
                <c:pt idx="165">
                  <c:v>135583.95000000001</c:v>
                </c:pt>
                <c:pt idx="166">
                  <c:v>131215</c:v>
                </c:pt>
                <c:pt idx="167">
                  <c:v>132950</c:v>
                </c:pt>
                <c:pt idx="168">
                  <c:v>138401.29999999999</c:v>
                </c:pt>
                <c:pt idx="169">
                  <c:v>142900</c:v>
                </c:pt>
                <c:pt idx="170">
                  <c:v>142664.15</c:v>
                </c:pt>
                <c:pt idx="171">
                  <c:v>146150</c:v>
                </c:pt>
                <c:pt idx="172">
                  <c:v>139125</c:v>
                </c:pt>
                <c:pt idx="173">
                  <c:v>134800</c:v>
                </c:pt>
                <c:pt idx="174">
                  <c:v>134000</c:v>
                </c:pt>
                <c:pt idx="175">
                  <c:v>139650</c:v>
                </c:pt>
                <c:pt idx="176">
                  <c:v>140002.79999999999</c:v>
                </c:pt>
                <c:pt idx="177">
                  <c:v>138472</c:v>
                </c:pt>
                <c:pt idx="178">
                  <c:v>134585</c:v>
                </c:pt>
                <c:pt idx="179">
                  <c:v>135140.45000000001</c:v>
                </c:pt>
                <c:pt idx="180">
                  <c:v>136580</c:v>
                </c:pt>
                <c:pt idx="181">
                  <c:v>140215</c:v>
                </c:pt>
                <c:pt idx="182">
                  <c:v>141746.25</c:v>
                </c:pt>
                <c:pt idx="183">
                  <c:v>141056.5</c:v>
                </c:pt>
                <c:pt idx="184">
                  <c:v>139059.5</c:v>
                </c:pt>
                <c:pt idx="185">
                  <c:v>134880</c:v>
                </c:pt>
                <c:pt idx="186">
                  <c:v>135420</c:v>
                </c:pt>
                <c:pt idx="187">
                  <c:v>135440</c:v>
                </c:pt>
                <c:pt idx="188">
                  <c:v>131103.45000000001</c:v>
                </c:pt>
                <c:pt idx="189">
                  <c:v>125300</c:v>
                </c:pt>
                <c:pt idx="190">
                  <c:v>126500</c:v>
                </c:pt>
                <c:pt idx="191">
                  <c:v>132810</c:v>
                </c:pt>
                <c:pt idx="192">
                  <c:v>137025</c:v>
                </c:pt>
                <c:pt idx="193">
                  <c:v>141900</c:v>
                </c:pt>
                <c:pt idx="194">
                  <c:v>147125</c:v>
                </c:pt>
                <c:pt idx="195">
                  <c:v>145666.45000000001</c:v>
                </c:pt>
                <c:pt idx="196">
                  <c:v>142146.45000000001</c:v>
                </c:pt>
                <c:pt idx="197">
                  <c:v>137350</c:v>
                </c:pt>
                <c:pt idx="198">
                  <c:v>135525</c:v>
                </c:pt>
                <c:pt idx="199">
                  <c:v>137484.6</c:v>
                </c:pt>
                <c:pt idx="200">
                  <c:v>140235</c:v>
                </c:pt>
                <c:pt idx="201">
                  <c:v>131950</c:v>
                </c:pt>
                <c:pt idx="202">
                  <c:v>126661.35</c:v>
                </c:pt>
                <c:pt idx="203">
                  <c:v>127402.15</c:v>
                </c:pt>
                <c:pt idx="204">
                  <c:v>132369</c:v>
                </c:pt>
                <c:pt idx="205">
                  <c:v>138600</c:v>
                </c:pt>
                <c:pt idx="206">
                  <c:v>144395.35</c:v>
                </c:pt>
                <c:pt idx="207">
                  <c:v>147661.79999999999</c:v>
                </c:pt>
                <c:pt idx="208">
                  <c:v>140069.25</c:v>
                </c:pt>
                <c:pt idx="209">
                  <c:v>137316.75</c:v>
                </c:pt>
                <c:pt idx="210">
                  <c:v>139950</c:v>
                </c:pt>
                <c:pt idx="211">
                  <c:v>139400</c:v>
                </c:pt>
                <c:pt idx="212">
                  <c:v>138757.5</c:v>
                </c:pt>
                <c:pt idx="213">
                  <c:v>134350</c:v>
                </c:pt>
                <c:pt idx="214">
                  <c:v>131550</c:v>
                </c:pt>
                <c:pt idx="215">
                  <c:v>133900.75</c:v>
                </c:pt>
                <c:pt idx="216">
                  <c:v>137789</c:v>
                </c:pt>
                <c:pt idx="217">
                  <c:v>141672</c:v>
                </c:pt>
                <c:pt idx="218">
                  <c:v>146855</c:v>
                </c:pt>
                <c:pt idx="219">
                  <c:v>145300</c:v>
                </c:pt>
                <c:pt idx="220">
                  <c:v>146525</c:v>
                </c:pt>
                <c:pt idx="221">
                  <c:v>143232.5</c:v>
                </c:pt>
                <c:pt idx="222">
                  <c:v>139642.5</c:v>
                </c:pt>
                <c:pt idx="223">
                  <c:v>138915</c:v>
                </c:pt>
                <c:pt idx="224">
                  <c:v>137035</c:v>
                </c:pt>
                <c:pt idx="225">
                  <c:v>132750</c:v>
                </c:pt>
                <c:pt idx="226">
                  <c:v>133975</c:v>
                </c:pt>
                <c:pt idx="227">
                  <c:v>139452.5</c:v>
                </c:pt>
                <c:pt idx="228">
                  <c:v>144490</c:v>
                </c:pt>
                <c:pt idx="229">
                  <c:v>150620.75</c:v>
                </c:pt>
                <c:pt idx="230">
                  <c:v>153885</c:v>
                </c:pt>
                <c:pt idx="231">
                  <c:v>156555.79999999999</c:v>
                </c:pt>
                <c:pt idx="232">
                  <c:v>153563.95000000001</c:v>
                </c:pt>
                <c:pt idx="233">
                  <c:v>150359.5</c:v>
                </c:pt>
                <c:pt idx="234">
                  <c:v>146361.65</c:v>
                </c:pt>
                <c:pt idx="235">
                  <c:v>142795.35</c:v>
                </c:pt>
                <c:pt idx="236">
                  <c:v>143712.75</c:v>
                </c:pt>
                <c:pt idx="237">
                  <c:v>142604.75</c:v>
                </c:pt>
                <c:pt idx="238">
                  <c:v>141215.5</c:v>
                </c:pt>
                <c:pt idx="239">
                  <c:v>146212.85</c:v>
                </c:pt>
                <c:pt idx="240">
                  <c:v>151806.9</c:v>
                </c:pt>
                <c:pt idx="241">
                  <c:v>156360</c:v>
                </c:pt>
                <c:pt idx="242">
                  <c:v>164690.75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6-425A-8F0B-0C0971E485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7066864"/>
        <c:axId val="407069160"/>
      </c:scatterChart>
      <c:valAx>
        <c:axId val="407066864"/>
        <c:scaling>
          <c:orientation val="minMax"/>
          <c:min val="35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m/d/yy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69160"/>
        <c:crosses val="autoZero"/>
        <c:crossBetween val="midCat"/>
      </c:valAx>
      <c:valAx>
        <c:axId val="407069160"/>
        <c:scaling>
          <c:orientation val="minMax"/>
          <c:min val="6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70668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Sheet2!$B$1</c:f>
              <c:strCache>
                <c:ptCount val="1"/>
                <c:pt idx="0">
                  <c:v>Average Price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Sheet2!$A$2:$A$12</c:f>
              <c:numCache>
                <c:formatCode>General</c:formatCode>
                <c:ptCount val="11"/>
                <c:pt idx="0">
                  <c:v>2007</c:v>
                </c:pt>
                <c:pt idx="1">
                  <c:v>2008</c:v>
                </c:pt>
                <c:pt idx="2">
                  <c:v>2009</c:v>
                </c:pt>
                <c:pt idx="3">
                  <c:v>2010</c:v>
                </c:pt>
                <c:pt idx="4">
                  <c:v>2011</c:v>
                </c:pt>
                <c:pt idx="5">
                  <c:v>2012</c:v>
                </c:pt>
                <c:pt idx="6">
                  <c:v>2013</c:v>
                </c:pt>
                <c:pt idx="7">
                  <c:v>2014</c:v>
                </c:pt>
                <c:pt idx="8">
                  <c:v>2015</c:v>
                </c:pt>
                <c:pt idx="9">
                  <c:v>2016</c:v>
                </c:pt>
                <c:pt idx="10">
                  <c:v>2017</c:v>
                </c:pt>
              </c:numCache>
            </c:numRef>
          </c:xVal>
          <c:yVal>
            <c:numRef>
              <c:f>Sheet2!$B$2:$B$12</c:f>
              <c:numCache>
                <c:formatCode>General</c:formatCode>
                <c:ptCount val="11"/>
                <c:pt idx="0">
                  <c:v>222375</c:v>
                </c:pt>
                <c:pt idx="1">
                  <c:v>210983.33333333299</c:v>
                </c:pt>
                <c:pt idx="2">
                  <c:v>195316.66666666701</c:v>
                </c:pt>
                <c:pt idx="3">
                  <c:v>200675</c:v>
                </c:pt>
                <c:pt idx="4">
                  <c:v>189891.66666666701</c:v>
                </c:pt>
                <c:pt idx="5">
                  <c:v>187925</c:v>
                </c:pt>
                <c:pt idx="6">
                  <c:v>189258.33333333299</c:v>
                </c:pt>
                <c:pt idx="7">
                  <c:v>189033.33333333299</c:v>
                </c:pt>
                <c:pt idx="8">
                  <c:v>196158.33333333299</c:v>
                </c:pt>
                <c:pt idx="9">
                  <c:v>203516.66666666701</c:v>
                </c:pt>
                <c:pt idx="10">
                  <c:v>212075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A0-45FB-BDFB-9A52978AEEC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06680960"/>
        <c:axId val="406683256"/>
      </c:scatterChart>
      <c:valAx>
        <c:axId val="40668096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683256"/>
        <c:crosses val="autoZero"/>
        <c:crossBetween val="midCat"/>
      </c:valAx>
      <c:valAx>
        <c:axId val="4066832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6680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11</xdr:col>
      <xdr:colOff>47625</xdr:colOff>
      <xdr:row>12</xdr:row>
      <xdr:rowOff>114300</xdr:rowOff>
    </xdr:from>
    <xdr:to>
      <xdr:col>18</xdr:col>
      <xdr:colOff>352425</xdr:colOff>
      <xdr:row>27</xdr:row>
      <xdr:rowOff>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85725</xdr:colOff>
      <xdr:row>6</xdr:row>
      <xdr:rowOff>171450</xdr:rowOff>
    </xdr:from>
    <xdr:to>
      <xdr:col>13</xdr:col>
      <xdr:colOff>390525</xdr:colOff>
      <xdr:row>21</xdr:row>
      <xdr:rowOff>57150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571500</xdr:colOff>
      <xdr:row>8</xdr:row>
      <xdr:rowOff>152400</xdr:rowOff>
    </xdr:from>
    <xdr:to>
      <xdr:col>16</xdr:col>
      <xdr:colOff>333375</xdr:colOff>
      <xdr:row>28</xdr:row>
      <xdr:rowOff>57150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390525</xdr:colOff>
      <xdr:row>2</xdr:row>
      <xdr:rowOff>133350</xdr:rowOff>
    </xdr:from>
    <xdr:to>
      <xdr:col>10</xdr:col>
      <xdr:colOff>85725</xdr:colOff>
      <xdr:row>17</xdr:row>
      <xdr:rowOff>19050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B6"/>
  <sheetViews>
    <sheetView workbookViewId="0">
      <selection activeCell="C39" sqref="C39"/>
    </sheetView>
  </sheetViews>
  <sheetFormatPr defaultRowHeight="15" x14ac:dyDescent="0.25"/>
  <cols>
    <col min="1" max="1" width="13.85546875" bestFit="1" customWidth="1"/>
    <col min="2" max="2" width="13.5703125" bestFit="1" customWidth="1"/>
  </cols>
  <sheetData>
    <row r="1" spans="1:2" x14ac:dyDescent="0.25">
      <c r="A1" t="s">
        <v>0</v>
      </c>
      <c r="B1" t="s">
        <v>13</v>
      </c>
    </row>
    <row r="2" spans="1:2" x14ac:dyDescent="0.25">
      <c r="A2" t="s">
        <v>5</v>
      </c>
      <c r="B2" t="s">
        <v>8</v>
      </c>
    </row>
    <row r="3" spans="1:2" x14ac:dyDescent="0.25">
      <c r="A3" t="s">
        <v>6</v>
      </c>
      <c r="B3" t="s">
        <v>9</v>
      </c>
    </row>
    <row r="4" spans="1:2" x14ac:dyDescent="0.25">
      <c r="A4" t="s">
        <v>1</v>
      </c>
      <c r="B4" t="s">
        <v>10</v>
      </c>
    </row>
    <row r="5" spans="1:2" x14ac:dyDescent="0.25">
      <c r="A5" t="s">
        <v>7</v>
      </c>
      <c r="B5" t="s">
        <v>11</v>
      </c>
    </row>
    <row r="6" spans="1:2" x14ac:dyDescent="0.25">
      <c r="A6" t="s">
        <v>4</v>
      </c>
      <c r="B6" t="s">
        <v>12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12"/>
  <sheetViews>
    <sheetView workbookViewId="0">
      <selection activeCell="A2" sqref="A2:B12"/>
    </sheetView>
  </sheetViews>
  <sheetFormatPr defaultRowHeight="15" x14ac:dyDescent="0.25"/>
  <sheetData>
    <row r="1" spans="1:2" x14ac:dyDescent="0.25">
      <c r="A1" t="s">
        <v>2</v>
      </c>
      <c r="B1" t="s">
        <v>3</v>
      </c>
    </row>
    <row r="2" spans="1:2" x14ac:dyDescent="0.25">
      <c r="A2" t="s">
        <v>14</v>
      </c>
      <c r="B2">
        <v>222375</v>
      </c>
    </row>
    <row r="3" spans="1:2" x14ac:dyDescent="0.25">
      <c r="A3" t="s">
        <v>15</v>
      </c>
      <c r="B3">
        <v>210983.33333333334</v>
      </c>
    </row>
    <row r="4" spans="1:2" x14ac:dyDescent="0.25">
      <c r="A4" t="s">
        <v>16</v>
      </c>
      <c r="B4">
        <v>195316.66666666666</v>
      </c>
    </row>
    <row r="5" spans="1:2" x14ac:dyDescent="0.25">
      <c r="A5" t="s">
        <v>17</v>
      </c>
      <c r="B5">
        <v>200675</v>
      </c>
    </row>
    <row r="6" spans="1:2" x14ac:dyDescent="0.25">
      <c r="A6" t="s">
        <v>18</v>
      </c>
      <c r="B6">
        <v>189891.66666666666</v>
      </c>
    </row>
    <row r="7" spans="1:2" x14ac:dyDescent="0.25">
      <c r="A7" t="s">
        <v>19</v>
      </c>
      <c r="B7">
        <v>187925</v>
      </c>
    </row>
    <row r="8" spans="1:2" x14ac:dyDescent="0.25">
      <c r="A8" t="s">
        <v>20</v>
      </c>
      <c r="B8">
        <v>189258.33333333334</v>
      </c>
    </row>
    <row r="9" spans="1:2" x14ac:dyDescent="0.25">
      <c r="A9" t="s">
        <v>21</v>
      </c>
      <c r="B9">
        <v>189033.33333333334</v>
      </c>
    </row>
    <row r="10" spans="1:2" x14ac:dyDescent="0.25">
      <c r="A10" t="s">
        <v>22</v>
      </c>
      <c r="B10">
        <v>196158.33333333334</v>
      </c>
    </row>
    <row r="11" spans="1:2" x14ac:dyDescent="0.25">
      <c r="A11" t="s">
        <v>23</v>
      </c>
      <c r="B11">
        <v>203516.66666666666</v>
      </c>
    </row>
    <row r="12" spans="1:2" x14ac:dyDescent="0.25">
      <c r="A12" t="s">
        <v>24</v>
      </c>
      <c r="B12">
        <v>212075</v>
      </c>
    </row>
  </sheetData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B12"/>
  <sheetViews>
    <sheetView workbookViewId="0">
      <selection activeCell="B5" sqref="B5"/>
    </sheetView>
  </sheetViews>
  <sheetFormatPr defaultRowHeight="15" x14ac:dyDescent="0.25"/>
  <sheetData>
    <row r="1" spans="1:2" x14ac:dyDescent="0.25">
      <c r="A1" t="s">
        <v>2</v>
      </c>
      <c r="B1" t="s">
        <v>3</v>
      </c>
    </row>
    <row r="2" spans="1:2" x14ac:dyDescent="0.25">
      <c r="A2" t="s">
        <v>14</v>
      </c>
      <c r="B2">
        <v>0</v>
      </c>
    </row>
    <row r="3" spans="1:2" x14ac:dyDescent="0.25">
      <c r="A3" t="s">
        <v>15</v>
      </c>
      <c r="B3">
        <v>0</v>
      </c>
    </row>
    <row r="4" spans="1:2" x14ac:dyDescent="0.25">
      <c r="A4" t="s">
        <v>16</v>
      </c>
      <c r="B4">
        <v>0</v>
      </c>
    </row>
    <row r="5" spans="1:2" x14ac:dyDescent="0.25">
      <c r="A5" t="s">
        <v>17</v>
      </c>
      <c r="B5">
        <v>41350</v>
      </c>
    </row>
    <row r="6" spans="1:2" x14ac:dyDescent="0.25">
      <c r="A6" t="s">
        <v>18</v>
      </c>
      <c r="B6">
        <v>97658.333333333328</v>
      </c>
    </row>
    <row r="7" spans="1:2" x14ac:dyDescent="0.25">
      <c r="A7" t="s">
        <v>19</v>
      </c>
      <c r="B7">
        <v>85908.333333333328</v>
      </c>
    </row>
    <row r="8" spans="1:2" x14ac:dyDescent="0.25">
      <c r="A8" t="s">
        <v>20</v>
      </c>
      <c r="B8">
        <v>88550</v>
      </c>
    </row>
    <row r="9" spans="1:2" x14ac:dyDescent="0.25">
      <c r="A9" t="s">
        <v>21</v>
      </c>
      <c r="B9">
        <v>99016.666666666672</v>
      </c>
    </row>
    <row r="10" spans="1:2" x14ac:dyDescent="0.25">
      <c r="A10" t="s">
        <v>22</v>
      </c>
      <c r="B10">
        <v>106891.66666666667</v>
      </c>
    </row>
    <row r="11" spans="1:2" x14ac:dyDescent="0.25">
      <c r="A11" t="s">
        <v>23</v>
      </c>
      <c r="B11">
        <v>116241.66666666667</v>
      </c>
    </row>
    <row r="12" spans="1:2" x14ac:dyDescent="0.25">
      <c r="A12" t="s">
        <v>24</v>
      </c>
      <c r="B12">
        <v>129375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H316"/>
  <sheetViews>
    <sheetView topLeftCell="A46" zoomScaleNormal="100" workbookViewId="0">
      <selection activeCell="D132" sqref="D132"/>
    </sheetView>
  </sheetViews>
  <sheetFormatPr defaultRowHeight="15" x14ac:dyDescent="0.25"/>
  <cols>
    <col min="1" max="1" width="17.85546875" bestFit="1" customWidth="1"/>
    <col min="3" max="3" width="13.28515625" bestFit="1" customWidth="1"/>
    <col min="5" max="5" width="12.140625" bestFit="1" customWidth="1"/>
    <col min="6" max="7" width="12.140625" customWidth="1"/>
    <col min="8" max="8" width="12" bestFit="1" customWidth="1"/>
    <col min="14" max="14" width="10.140625" bestFit="1" customWidth="1"/>
  </cols>
  <sheetData>
    <row r="1" spans="1:8" ht="15.75" thickBot="1" x14ac:dyDescent="0.3">
      <c r="A1" s="1" t="s">
        <v>70</v>
      </c>
      <c r="B1" s="1" t="s">
        <v>2</v>
      </c>
      <c r="C1" s="1" t="s">
        <v>3</v>
      </c>
    </row>
    <row r="2" spans="1:8" x14ac:dyDescent="0.25">
      <c r="A2" t="s">
        <v>25</v>
      </c>
      <c r="B2">
        <v>2007</v>
      </c>
      <c r="C2" s="3">
        <v>154516.91666666701</v>
      </c>
    </row>
    <row r="3" spans="1:8" x14ac:dyDescent="0.25">
      <c r="A3" t="s">
        <v>25</v>
      </c>
      <c r="B3">
        <v>2008</v>
      </c>
      <c r="C3" s="3">
        <v>151912.79166666701</v>
      </c>
      <c r="D3" s="2">
        <f>(C3-C2)/C2</f>
        <v>-1.6853332671773226E-2</v>
      </c>
      <c r="E3" s="6">
        <f>STDEV(D3:D10)</f>
        <v>3.0772101696373112E-2</v>
      </c>
      <c r="F3" s="8">
        <f>IF(D3&lt;0,1,0)</f>
        <v>1</v>
      </c>
      <c r="G3" s="8">
        <f>SUM(F3:F10)</f>
        <v>5</v>
      </c>
      <c r="H3">
        <f>AVERAGE(G:G)</f>
        <v>4.0857142857142854</v>
      </c>
    </row>
    <row r="4" spans="1:8" x14ac:dyDescent="0.25">
      <c r="A4" t="s">
        <v>25</v>
      </c>
      <c r="B4">
        <v>2009</v>
      </c>
      <c r="C4" s="3">
        <v>143745.85833333299</v>
      </c>
      <c r="D4" s="2">
        <f t="shared" ref="D4:D55" si="0">(C4-C3)/C3</f>
        <v>-5.3760669155855048E-2</v>
      </c>
      <c r="E4" s="2"/>
      <c r="F4" s="8">
        <f>IF(D4&lt;0,1,0)</f>
        <v>1</v>
      </c>
      <c r="G4" s="2"/>
    </row>
    <row r="5" spans="1:8" x14ac:dyDescent="0.25">
      <c r="A5" t="s">
        <v>25</v>
      </c>
      <c r="B5">
        <v>2010</v>
      </c>
      <c r="C5" s="3">
        <v>138120.183333333</v>
      </c>
      <c r="D5" s="2">
        <f t="shared" si="0"/>
        <v>-3.9136258012767107E-2</v>
      </c>
      <c r="E5" s="2"/>
      <c r="F5" s="8">
        <f t="shared" ref="F5:F55" si="1">IF(D5&lt;0,1,0)</f>
        <v>1</v>
      </c>
      <c r="G5" s="2"/>
    </row>
    <row r="6" spans="1:8" x14ac:dyDescent="0.25">
      <c r="A6" t="s">
        <v>25</v>
      </c>
      <c r="B6">
        <v>2011</v>
      </c>
      <c r="C6" s="3">
        <v>136974.84583333301</v>
      </c>
      <c r="D6" s="2">
        <f>(C6-C5)/C5</f>
        <v>-8.2923253673642221E-3</v>
      </c>
      <c r="E6" s="2"/>
      <c r="F6" s="8">
        <f t="shared" si="1"/>
        <v>1</v>
      </c>
      <c r="G6" s="2"/>
    </row>
    <row r="7" spans="1:8" x14ac:dyDescent="0.25">
      <c r="A7" t="s">
        <v>25</v>
      </c>
      <c r="B7">
        <v>2012</v>
      </c>
      <c r="C7" s="3">
        <v>137422.29166666701</v>
      </c>
      <c r="D7" s="2">
        <f t="shared" si="0"/>
        <v>3.2666277564454413E-3</v>
      </c>
      <c r="E7" s="2"/>
      <c r="F7" s="8">
        <f t="shared" si="1"/>
        <v>0</v>
      </c>
      <c r="G7" s="2"/>
    </row>
    <row r="8" spans="1:8" x14ac:dyDescent="0.25">
      <c r="A8" t="s">
        <v>25</v>
      </c>
      <c r="B8">
        <v>2013</v>
      </c>
      <c r="C8" s="3">
        <v>137044.42916666699</v>
      </c>
      <c r="D8" s="2">
        <f t="shared" si="0"/>
        <v>-2.749644875058297E-3</v>
      </c>
      <c r="E8" s="2"/>
      <c r="F8" s="8">
        <f t="shared" si="1"/>
        <v>1</v>
      </c>
      <c r="G8" s="2"/>
    </row>
    <row r="9" spans="1:8" x14ac:dyDescent="0.25">
      <c r="A9" t="s">
        <v>25</v>
      </c>
      <c r="B9">
        <v>2014</v>
      </c>
      <c r="C9" s="3">
        <v>139730.5625</v>
      </c>
      <c r="D9" s="2">
        <f t="shared" si="0"/>
        <v>1.9600456214577407E-2</v>
      </c>
      <c r="E9" s="2"/>
      <c r="F9" s="8">
        <f t="shared" si="1"/>
        <v>0</v>
      </c>
      <c r="G9" s="2"/>
    </row>
    <row r="10" spans="1:8" x14ac:dyDescent="0.25">
      <c r="A10" t="s">
        <v>25</v>
      </c>
      <c r="B10">
        <v>2015</v>
      </c>
      <c r="C10" s="3">
        <v>145710.1875</v>
      </c>
      <c r="D10" s="2">
        <f t="shared" si="0"/>
        <v>4.2793966423773609E-2</v>
      </c>
      <c r="E10" s="2"/>
      <c r="F10" s="8">
        <f t="shared" si="1"/>
        <v>0</v>
      </c>
      <c r="G10" s="2"/>
    </row>
    <row r="11" spans="1:8" x14ac:dyDescent="0.25">
      <c r="A11" t="s">
        <v>27</v>
      </c>
      <c r="B11">
        <v>2007</v>
      </c>
      <c r="C11" s="3">
        <v>244604.76666666701</v>
      </c>
      <c r="D11" s="2"/>
      <c r="E11" s="2"/>
      <c r="F11" s="8">
        <f t="shared" si="1"/>
        <v>0</v>
      </c>
      <c r="G11" s="2"/>
    </row>
    <row r="12" spans="1:8" x14ac:dyDescent="0.25">
      <c r="A12" t="s">
        <v>27</v>
      </c>
      <c r="B12">
        <v>2008</v>
      </c>
      <c r="C12" s="3">
        <v>219837.441666667</v>
      </c>
      <c r="D12" s="2">
        <f t="shared" si="0"/>
        <v>-0.10125446587781123</v>
      </c>
      <c r="E12" s="6">
        <f>STDEV(D12:D19)</f>
        <v>0.11114651663417603</v>
      </c>
      <c r="F12" s="8">
        <f t="shared" si="1"/>
        <v>1</v>
      </c>
      <c r="G12" s="8">
        <f>SUM(F12:F19)</f>
        <v>4</v>
      </c>
    </row>
    <row r="13" spans="1:8" x14ac:dyDescent="0.25">
      <c r="A13" t="s">
        <v>27</v>
      </c>
      <c r="B13">
        <v>2009</v>
      </c>
      <c r="C13" s="3">
        <v>180216.66250000001</v>
      </c>
      <c r="D13" s="2">
        <f t="shared" si="0"/>
        <v>-0.18022762121996858</v>
      </c>
      <c r="E13" s="2"/>
      <c r="F13" s="8">
        <f t="shared" si="1"/>
        <v>1</v>
      </c>
      <c r="G13" s="2"/>
    </row>
    <row r="14" spans="1:8" x14ac:dyDescent="0.25">
      <c r="A14" t="s">
        <v>27</v>
      </c>
      <c r="B14">
        <v>2010</v>
      </c>
      <c r="C14" s="3">
        <v>157074.745833333</v>
      </c>
      <c r="D14" s="2">
        <f t="shared" si="0"/>
        <v>-0.1284116371130056</v>
      </c>
      <c r="E14" s="2"/>
      <c r="F14" s="8">
        <f t="shared" si="1"/>
        <v>1</v>
      </c>
      <c r="G14" s="2"/>
    </row>
    <row r="15" spans="1:8" x14ac:dyDescent="0.25">
      <c r="A15" t="s">
        <v>27</v>
      </c>
      <c r="B15">
        <v>2011</v>
      </c>
      <c r="C15" s="3">
        <v>150621.94583333301</v>
      </c>
      <c r="D15" s="2">
        <f t="shared" si="0"/>
        <v>-4.1081078729529499E-2</v>
      </c>
      <c r="E15" s="2"/>
      <c r="F15" s="8">
        <f t="shared" si="1"/>
        <v>1</v>
      </c>
      <c r="G15" s="2"/>
    </row>
    <row r="16" spans="1:8" x14ac:dyDescent="0.25">
      <c r="A16" t="s">
        <v>27</v>
      </c>
      <c r="B16">
        <v>2012</v>
      </c>
      <c r="C16" s="3">
        <v>158832.16666666701</v>
      </c>
      <c r="D16" s="2">
        <f t="shared" si="0"/>
        <v>5.4508795434224516E-2</v>
      </c>
      <c r="E16" s="2"/>
      <c r="F16" s="8">
        <f t="shared" si="1"/>
        <v>0</v>
      </c>
      <c r="G16" s="2"/>
    </row>
    <row r="17" spans="1:7" x14ac:dyDescent="0.25">
      <c r="A17" t="s">
        <v>27</v>
      </c>
      <c r="B17">
        <v>2013</v>
      </c>
      <c r="C17" s="3">
        <v>180480.32916666701</v>
      </c>
      <c r="D17" s="2">
        <f t="shared" si="0"/>
        <v>0.1362958332327727</v>
      </c>
      <c r="E17" s="2"/>
      <c r="F17" s="8">
        <f t="shared" si="1"/>
        <v>0</v>
      </c>
      <c r="G17" s="2"/>
    </row>
    <row r="18" spans="1:7" x14ac:dyDescent="0.25">
      <c r="A18" t="s">
        <v>27</v>
      </c>
      <c r="B18">
        <v>2014</v>
      </c>
      <c r="C18" s="3">
        <v>191372.41666666701</v>
      </c>
      <c r="D18" s="2">
        <f t="shared" si="0"/>
        <v>6.03505520534681E-2</v>
      </c>
      <c r="E18" s="2"/>
      <c r="F18" s="8">
        <f t="shared" si="1"/>
        <v>0</v>
      </c>
      <c r="G18" s="2"/>
    </row>
    <row r="19" spans="1:7" x14ac:dyDescent="0.25">
      <c r="A19" t="s">
        <v>27</v>
      </c>
      <c r="B19">
        <v>2015</v>
      </c>
      <c r="C19" s="3">
        <v>201858.33333333299</v>
      </c>
      <c r="D19" s="2">
        <f t="shared" si="0"/>
        <v>5.479324998508215E-2</v>
      </c>
      <c r="E19" s="2"/>
      <c r="F19" s="8">
        <f t="shared" si="1"/>
        <v>0</v>
      </c>
      <c r="G19" s="2"/>
    </row>
    <row r="20" spans="1:7" x14ac:dyDescent="0.25">
      <c r="A20" t="s">
        <v>28</v>
      </c>
      <c r="B20">
        <v>2007</v>
      </c>
      <c r="C20" s="3">
        <v>129541.66666666701</v>
      </c>
      <c r="D20" s="2"/>
      <c r="E20" s="2"/>
      <c r="F20" s="8">
        <f t="shared" si="1"/>
        <v>0</v>
      </c>
      <c r="G20" s="2"/>
    </row>
    <row r="21" spans="1:7" x14ac:dyDescent="0.25">
      <c r="A21" t="s">
        <v>28</v>
      </c>
      <c r="B21">
        <v>2008</v>
      </c>
      <c r="C21" s="3">
        <v>127991.66666666701</v>
      </c>
      <c r="D21" s="2">
        <f t="shared" si="0"/>
        <v>-1.1965262142167869E-2</v>
      </c>
      <c r="E21" s="7">
        <f>STDEV(D21:D28)</f>
        <v>4.8823909531722144E-2</v>
      </c>
      <c r="F21" s="8">
        <f t="shared" si="1"/>
        <v>1</v>
      </c>
      <c r="G21" s="8">
        <f>SUM(F21:F28)</f>
        <v>5</v>
      </c>
    </row>
    <row r="22" spans="1:7" x14ac:dyDescent="0.25">
      <c r="A22" t="s">
        <v>28</v>
      </c>
      <c r="B22">
        <v>2009</v>
      </c>
      <c r="C22" s="3">
        <v>118860</v>
      </c>
      <c r="D22" s="2">
        <f t="shared" si="0"/>
        <v>-7.1345790741587201E-2</v>
      </c>
      <c r="E22" s="2"/>
      <c r="F22" s="8">
        <f t="shared" si="1"/>
        <v>1</v>
      </c>
      <c r="G22" s="2"/>
    </row>
    <row r="23" spans="1:7" x14ac:dyDescent="0.25">
      <c r="A23" t="s">
        <v>28</v>
      </c>
      <c r="B23">
        <v>2010</v>
      </c>
      <c r="C23" s="3">
        <v>116154.16666666701</v>
      </c>
      <c r="D23" s="2">
        <f t="shared" si="0"/>
        <v>-2.276487744685339E-2</v>
      </c>
      <c r="E23" s="2"/>
      <c r="F23" s="8">
        <f t="shared" si="1"/>
        <v>1</v>
      </c>
      <c r="G23" s="2"/>
    </row>
    <row r="24" spans="1:7" x14ac:dyDescent="0.25">
      <c r="A24" t="s">
        <v>28</v>
      </c>
      <c r="B24">
        <v>2011</v>
      </c>
      <c r="C24" s="3">
        <v>113301.75</v>
      </c>
      <c r="D24" s="2">
        <f t="shared" si="0"/>
        <v>-2.4557161817989004E-2</v>
      </c>
      <c r="E24" s="2"/>
      <c r="F24" s="8">
        <f t="shared" si="1"/>
        <v>1</v>
      </c>
      <c r="G24" s="2"/>
    </row>
    <row r="25" spans="1:7" x14ac:dyDescent="0.25">
      <c r="A25" t="s">
        <v>28</v>
      </c>
      <c r="B25">
        <v>2012</v>
      </c>
      <c r="C25" s="3">
        <v>111116.825</v>
      </c>
      <c r="D25" s="2">
        <f t="shared" si="0"/>
        <v>-1.9284124031623544E-2</v>
      </c>
      <c r="E25" s="2"/>
      <c r="F25" s="8">
        <f t="shared" si="1"/>
        <v>1</v>
      </c>
      <c r="G25" s="2"/>
    </row>
    <row r="26" spans="1:7" x14ac:dyDescent="0.25">
      <c r="A26" t="s">
        <v>28</v>
      </c>
      <c r="B26">
        <v>2013</v>
      </c>
      <c r="C26" s="3">
        <v>120083.33333333299</v>
      </c>
      <c r="D26" s="2">
        <f t="shared" si="0"/>
        <v>8.0694425289176475E-2</v>
      </c>
      <c r="E26" s="2"/>
      <c r="F26" s="8">
        <f t="shared" si="1"/>
        <v>0</v>
      </c>
      <c r="G26" s="2"/>
    </row>
    <row r="27" spans="1:7" x14ac:dyDescent="0.25">
      <c r="A27" t="s">
        <v>28</v>
      </c>
      <c r="B27">
        <v>2014</v>
      </c>
      <c r="C27" s="3">
        <v>122957.29166666701</v>
      </c>
      <c r="D27" s="2">
        <f t="shared" si="0"/>
        <v>2.3933032616244444E-2</v>
      </c>
      <c r="E27" s="2"/>
      <c r="F27" s="8">
        <f t="shared" si="1"/>
        <v>0</v>
      </c>
      <c r="G27" s="2"/>
    </row>
    <row r="28" spans="1:7" x14ac:dyDescent="0.25">
      <c r="A28" t="s">
        <v>28</v>
      </c>
      <c r="B28">
        <v>2015</v>
      </c>
      <c r="C28" s="3">
        <v>129560.83333333299</v>
      </c>
      <c r="D28" s="2">
        <f t="shared" si="0"/>
        <v>5.3705978532513243E-2</v>
      </c>
      <c r="E28" s="2"/>
      <c r="F28" s="8">
        <f t="shared" si="1"/>
        <v>0</v>
      </c>
      <c r="G28" s="2"/>
    </row>
    <row r="29" spans="1:7" x14ac:dyDescent="0.25">
      <c r="A29" t="s">
        <v>29</v>
      </c>
      <c r="B29">
        <v>2007</v>
      </c>
      <c r="C29" s="3">
        <v>477092.13333333301</v>
      </c>
      <c r="D29" s="2"/>
      <c r="E29" s="2"/>
      <c r="F29" s="8">
        <f t="shared" si="1"/>
        <v>0</v>
      </c>
      <c r="G29" s="2"/>
    </row>
    <row r="30" spans="1:7" x14ac:dyDescent="0.25">
      <c r="A30" t="s">
        <v>29</v>
      </c>
      <c r="B30">
        <v>2008</v>
      </c>
      <c r="C30" s="3">
        <v>411567.91666666698</v>
      </c>
      <c r="D30" s="2">
        <f t="shared" si="0"/>
        <v>-0.13734080293645465</v>
      </c>
      <c r="E30" s="7">
        <f>STDEV(D30:D37)</f>
        <v>0.11989595346441764</v>
      </c>
      <c r="F30" s="8">
        <f t="shared" si="1"/>
        <v>1</v>
      </c>
      <c r="G30" s="8">
        <f>SUM(F30:F37)</f>
        <v>4</v>
      </c>
    </row>
    <row r="31" spans="1:7" x14ac:dyDescent="0.25">
      <c r="A31" t="s">
        <v>29</v>
      </c>
      <c r="B31">
        <v>2009</v>
      </c>
      <c r="C31" s="3">
        <v>339442.61666666699</v>
      </c>
      <c r="D31" s="2">
        <f t="shared" si="0"/>
        <v>-0.17524519545680475</v>
      </c>
      <c r="E31" s="2"/>
      <c r="F31" s="8">
        <f t="shared" si="1"/>
        <v>1</v>
      </c>
      <c r="G31" s="2"/>
    </row>
    <row r="32" spans="1:7" x14ac:dyDescent="0.25">
      <c r="A32" t="s">
        <v>29</v>
      </c>
      <c r="B32">
        <v>2010</v>
      </c>
      <c r="C32" s="3">
        <v>316004.91666666698</v>
      </c>
      <c r="D32" s="2">
        <f t="shared" si="0"/>
        <v>-6.9047605837353823E-2</v>
      </c>
      <c r="E32" s="2"/>
      <c r="F32" s="8">
        <f t="shared" si="1"/>
        <v>1</v>
      </c>
      <c r="G32" s="2"/>
    </row>
    <row r="33" spans="1:7" x14ac:dyDescent="0.25">
      <c r="A33" t="s">
        <v>29</v>
      </c>
      <c r="B33">
        <v>2011</v>
      </c>
      <c r="C33" s="3">
        <v>297851.48749999999</v>
      </c>
      <c r="D33" s="2">
        <f t="shared" si="0"/>
        <v>-5.7446666837199435E-2</v>
      </c>
      <c r="E33" s="2"/>
      <c r="F33" s="8">
        <f t="shared" si="1"/>
        <v>1</v>
      </c>
      <c r="G33" s="2"/>
    </row>
    <row r="34" spans="1:7" x14ac:dyDescent="0.25">
      <c r="A34" t="s">
        <v>29</v>
      </c>
      <c r="B34">
        <v>2012</v>
      </c>
      <c r="C34" s="3">
        <v>306770.85833333299</v>
      </c>
      <c r="D34" s="2">
        <f t="shared" si="0"/>
        <v>2.9945698469385686E-2</v>
      </c>
      <c r="E34" s="2"/>
      <c r="F34" s="8">
        <f t="shared" si="1"/>
        <v>0</v>
      </c>
      <c r="G34" s="2"/>
    </row>
    <row r="35" spans="1:7" x14ac:dyDescent="0.25">
      <c r="A35" t="s">
        <v>29</v>
      </c>
      <c r="B35">
        <v>2013</v>
      </c>
      <c r="C35" s="3">
        <v>363492.5</v>
      </c>
      <c r="D35" s="2">
        <f t="shared" si="0"/>
        <v>0.18489905454133476</v>
      </c>
      <c r="E35" s="2"/>
      <c r="F35" s="8">
        <f t="shared" si="1"/>
        <v>0</v>
      </c>
      <c r="G35" s="2"/>
    </row>
    <row r="36" spans="1:7" x14ac:dyDescent="0.25">
      <c r="A36" t="s">
        <v>29</v>
      </c>
      <c r="B36">
        <v>2014</v>
      </c>
      <c r="C36" s="3">
        <v>392487.5</v>
      </c>
      <c r="D36" s="2">
        <f t="shared" si="0"/>
        <v>7.9767808139095023E-2</v>
      </c>
      <c r="E36" s="2"/>
      <c r="F36" s="8">
        <f t="shared" si="1"/>
        <v>0</v>
      </c>
      <c r="G36" s="2"/>
    </row>
    <row r="37" spans="1:7" x14ac:dyDescent="0.25">
      <c r="A37" t="s">
        <v>29</v>
      </c>
      <c r="B37">
        <v>2015</v>
      </c>
      <c r="C37" s="3">
        <v>412591.66666666698</v>
      </c>
      <c r="D37" s="2">
        <f t="shared" si="0"/>
        <v>5.1222438081892994E-2</v>
      </c>
      <c r="E37" s="2"/>
      <c r="F37" s="8">
        <f t="shared" si="1"/>
        <v>0</v>
      </c>
      <c r="G37" s="2"/>
    </row>
    <row r="38" spans="1:7" x14ac:dyDescent="0.25">
      <c r="A38" t="s">
        <v>30</v>
      </c>
      <c r="B38">
        <v>2007</v>
      </c>
      <c r="C38" s="3">
        <v>240502.08333333299</v>
      </c>
      <c r="D38" s="2"/>
      <c r="E38" s="2"/>
      <c r="F38" s="8">
        <f t="shared" si="1"/>
        <v>0</v>
      </c>
      <c r="G38" s="2"/>
    </row>
    <row r="39" spans="1:7" x14ac:dyDescent="0.25">
      <c r="A39" t="s">
        <v>30</v>
      </c>
      <c r="B39">
        <v>2008</v>
      </c>
      <c r="C39" s="3">
        <v>235937.5</v>
      </c>
      <c r="D39" s="2">
        <f t="shared" si="0"/>
        <v>-1.8979392070406876E-2</v>
      </c>
      <c r="E39" s="7">
        <f>STDEV(D39:D46)</f>
        <v>5.2711281682366086E-2</v>
      </c>
      <c r="F39" s="8">
        <f t="shared" si="1"/>
        <v>1</v>
      </c>
      <c r="G39" s="8">
        <f>SUM(F39:F46)</f>
        <v>3</v>
      </c>
    </row>
    <row r="40" spans="1:7" x14ac:dyDescent="0.25">
      <c r="A40" t="s">
        <v>30</v>
      </c>
      <c r="B40">
        <v>2009</v>
      </c>
      <c r="C40" s="3">
        <v>217087.5</v>
      </c>
      <c r="D40" s="2">
        <f t="shared" si="0"/>
        <v>-7.9894039735099343E-2</v>
      </c>
      <c r="E40" s="2"/>
      <c r="F40" s="8">
        <f t="shared" si="1"/>
        <v>1</v>
      </c>
      <c r="G40" s="2"/>
    </row>
    <row r="41" spans="1:7" x14ac:dyDescent="0.25">
      <c r="A41" t="s">
        <v>30</v>
      </c>
      <c r="B41">
        <v>2010</v>
      </c>
      <c r="C41" s="3">
        <v>222891.60416666701</v>
      </c>
      <c r="D41" s="2">
        <f t="shared" si="0"/>
        <v>2.6736243066353457E-2</v>
      </c>
      <c r="E41" s="2"/>
      <c r="F41" s="8">
        <f t="shared" si="1"/>
        <v>0</v>
      </c>
      <c r="G41" s="2"/>
    </row>
    <row r="42" spans="1:7" x14ac:dyDescent="0.25">
      <c r="A42" t="s">
        <v>30</v>
      </c>
      <c r="B42">
        <v>2011</v>
      </c>
      <c r="C42" s="3">
        <v>221681.79166666701</v>
      </c>
      <c r="D42" s="2">
        <f t="shared" si="0"/>
        <v>-5.4278065094608219E-3</v>
      </c>
      <c r="E42" s="2"/>
      <c r="F42" s="8">
        <f t="shared" si="1"/>
        <v>1</v>
      </c>
      <c r="G42" s="2"/>
    </row>
    <row r="43" spans="1:7" x14ac:dyDescent="0.25">
      <c r="A43" t="s">
        <v>30</v>
      </c>
      <c r="B43">
        <v>2012</v>
      </c>
      <c r="C43" s="3">
        <v>226915.875</v>
      </c>
      <c r="D43" s="2">
        <f t="shared" si="0"/>
        <v>2.3610794977709539E-2</v>
      </c>
      <c r="E43" s="2"/>
      <c r="F43" s="8">
        <f t="shared" si="1"/>
        <v>0</v>
      </c>
      <c r="G43" s="2"/>
    </row>
    <row r="44" spans="1:7" x14ac:dyDescent="0.25">
      <c r="A44" t="s">
        <v>30</v>
      </c>
      <c r="B44">
        <v>2013</v>
      </c>
      <c r="C44" s="3">
        <v>239238.33333333299</v>
      </c>
      <c r="D44" s="2">
        <f t="shared" si="0"/>
        <v>5.4304082221365048E-2</v>
      </c>
      <c r="E44" s="2"/>
      <c r="F44" s="8">
        <f t="shared" si="1"/>
        <v>0</v>
      </c>
      <c r="G44" s="2"/>
    </row>
    <row r="45" spans="1:7" x14ac:dyDescent="0.25">
      <c r="A45" t="s">
        <v>30</v>
      </c>
      <c r="B45">
        <v>2014</v>
      </c>
      <c r="C45" s="3">
        <v>251132.32916666701</v>
      </c>
      <c r="D45" s="2">
        <f t="shared" si="0"/>
        <v>4.971609552538557E-2</v>
      </c>
      <c r="E45" s="2"/>
      <c r="F45" s="8">
        <f t="shared" si="1"/>
        <v>0</v>
      </c>
      <c r="G45" s="2"/>
    </row>
    <row r="46" spans="1:7" x14ac:dyDescent="0.25">
      <c r="A46" t="s">
        <v>30</v>
      </c>
      <c r="B46">
        <v>2015</v>
      </c>
      <c r="C46" s="3">
        <v>274308.33333333302</v>
      </c>
      <c r="D46" s="2">
        <f t="shared" si="0"/>
        <v>9.2286024039879691E-2</v>
      </c>
      <c r="E46" s="2"/>
      <c r="F46" s="8">
        <f t="shared" si="1"/>
        <v>0</v>
      </c>
      <c r="G46" s="2"/>
    </row>
    <row r="47" spans="1:7" x14ac:dyDescent="0.25">
      <c r="A47" t="s">
        <v>31</v>
      </c>
      <c r="B47">
        <v>2007</v>
      </c>
      <c r="C47" s="3">
        <v>265262.5</v>
      </c>
      <c r="D47" s="2"/>
      <c r="E47" s="2"/>
      <c r="F47" s="8">
        <f t="shared" si="1"/>
        <v>0</v>
      </c>
      <c r="G47" s="2"/>
    </row>
    <row r="48" spans="1:7" x14ac:dyDescent="0.25">
      <c r="A48" t="s">
        <v>31</v>
      </c>
      <c r="B48">
        <v>2008</v>
      </c>
      <c r="C48" s="3">
        <v>256554.16666666701</v>
      </c>
      <c r="D48" s="2">
        <f t="shared" si="0"/>
        <v>-3.2829115812951296E-2</v>
      </c>
      <c r="E48" s="7">
        <f>STDEV(D48:D55)</f>
        <v>3.4673299318832909E-2</v>
      </c>
      <c r="F48" s="8">
        <f t="shared" si="1"/>
        <v>1</v>
      </c>
      <c r="G48" s="8">
        <f>SUM(F48:F55)</f>
        <v>5</v>
      </c>
    </row>
    <row r="49" spans="1:7" x14ac:dyDescent="0.25">
      <c r="A49" t="s">
        <v>31</v>
      </c>
      <c r="B49">
        <v>2009</v>
      </c>
      <c r="C49" s="3">
        <v>238389.58333333299</v>
      </c>
      <c r="D49" s="2">
        <f t="shared" si="0"/>
        <v>-7.0802137300442686E-2</v>
      </c>
      <c r="E49" s="2"/>
      <c r="F49" s="8">
        <f t="shared" si="1"/>
        <v>1</v>
      </c>
      <c r="G49" s="2"/>
    </row>
    <row r="50" spans="1:7" x14ac:dyDescent="0.25">
      <c r="A50" t="s">
        <v>31</v>
      </c>
      <c r="B50">
        <v>2010</v>
      </c>
      <c r="C50" s="3">
        <v>248518.75</v>
      </c>
      <c r="D50" s="2">
        <f t="shared" si="0"/>
        <v>4.2489971772397862E-2</v>
      </c>
      <c r="E50" s="2"/>
      <c r="F50" s="8">
        <f t="shared" si="1"/>
        <v>0</v>
      </c>
      <c r="G50" s="2"/>
    </row>
    <row r="51" spans="1:7" x14ac:dyDescent="0.25">
      <c r="A51" t="s">
        <v>31</v>
      </c>
      <c r="B51">
        <v>2011</v>
      </c>
      <c r="C51" s="3">
        <v>243182.20833333299</v>
      </c>
      <c r="D51" s="2">
        <f t="shared" si="0"/>
        <v>-2.1473396541174482E-2</v>
      </c>
      <c r="E51" s="2"/>
      <c r="F51" s="8">
        <f t="shared" si="1"/>
        <v>1</v>
      </c>
      <c r="G51" s="2"/>
    </row>
    <row r="52" spans="1:7" x14ac:dyDescent="0.25">
      <c r="A52" t="s">
        <v>31</v>
      </c>
      <c r="B52">
        <v>2012</v>
      </c>
      <c r="C52" s="3">
        <v>238814.79166666701</v>
      </c>
      <c r="D52" s="2">
        <f t="shared" si="0"/>
        <v>-1.7959441591547328E-2</v>
      </c>
      <c r="E52" s="2"/>
      <c r="F52" s="8">
        <f t="shared" si="1"/>
        <v>1</v>
      </c>
      <c r="G52" s="2"/>
    </row>
    <row r="53" spans="1:7" x14ac:dyDescent="0.25">
      <c r="A53" t="s">
        <v>31</v>
      </c>
      <c r="B53">
        <v>2013</v>
      </c>
      <c r="C53" s="3">
        <v>242750.129166667</v>
      </c>
      <c r="D53" s="2">
        <f t="shared" si="0"/>
        <v>1.6478617059419255E-2</v>
      </c>
      <c r="E53" s="2"/>
      <c r="F53" s="8">
        <f t="shared" si="1"/>
        <v>0</v>
      </c>
      <c r="G53" s="2"/>
    </row>
    <row r="54" spans="1:7" x14ac:dyDescent="0.25">
      <c r="A54" t="s">
        <v>31</v>
      </c>
      <c r="B54">
        <v>2014</v>
      </c>
      <c r="C54" s="3">
        <v>245792.91666666701</v>
      </c>
      <c r="D54" s="2">
        <f t="shared" si="0"/>
        <v>1.2534648325195715E-2</v>
      </c>
      <c r="E54" s="2"/>
      <c r="F54" s="8">
        <f t="shared" si="1"/>
        <v>0</v>
      </c>
      <c r="G54" s="2"/>
    </row>
    <row r="55" spans="1:7" x14ac:dyDescent="0.25">
      <c r="A55" t="s">
        <v>31</v>
      </c>
      <c r="B55">
        <v>2015</v>
      </c>
      <c r="C55" s="3">
        <v>244917.5</v>
      </c>
      <c r="D55" s="2">
        <f t="shared" si="0"/>
        <v>-3.5616025007514998E-3</v>
      </c>
      <c r="E55" s="2"/>
      <c r="F55" s="8">
        <f t="shared" si="1"/>
        <v>1</v>
      </c>
      <c r="G55" s="2"/>
    </row>
    <row r="56" spans="1:7" x14ac:dyDescent="0.25">
      <c r="A56" t="s">
        <v>32</v>
      </c>
      <c r="B56">
        <v>2007</v>
      </c>
      <c r="C56" s="3">
        <v>231448.870833333</v>
      </c>
      <c r="D56" s="2"/>
      <c r="E56" s="2"/>
      <c r="F56" s="8">
        <f t="shared" ref="F56:F109" si="2">IF(D56&lt;0,1,0)</f>
        <v>0</v>
      </c>
      <c r="G56" s="2"/>
    </row>
    <row r="57" spans="1:7" x14ac:dyDescent="0.25">
      <c r="A57" t="s">
        <v>32</v>
      </c>
      <c r="B57">
        <v>2008</v>
      </c>
      <c r="C57" s="3">
        <v>223271.33749999999</v>
      </c>
      <c r="D57" s="2">
        <f t="shared" ref="D57:D109" si="3">(C57-C56)/C56</f>
        <v>-3.5331921490434362E-2</v>
      </c>
      <c r="E57" s="7">
        <f>STDEV(D57:D64)</f>
        <v>6.1755495569036895E-2</v>
      </c>
      <c r="F57" s="8">
        <f t="shared" si="2"/>
        <v>1</v>
      </c>
      <c r="G57" s="8">
        <f>SUM(F57:F64)</f>
        <v>5</v>
      </c>
    </row>
    <row r="58" spans="1:7" x14ac:dyDescent="0.25">
      <c r="A58" t="s">
        <v>32</v>
      </c>
      <c r="B58">
        <v>2009</v>
      </c>
      <c r="C58" s="3">
        <v>210489.58333333299</v>
      </c>
      <c r="D58" s="2">
        <f t="shared" si="3"/>
        <v>-5.7247626631282224E-2</v>
      </c>
      <c r="E58" s="2"/>
      <c r="F58" s="8">
        <f t="shared" si="2"/>
        <v>1</v>
      </c>
      <c r="G58" s="2"/>
    </row>
    <row r="59" spans="1:7" x14ac:dyDescent="0.25">
      <c r="A59" t="s">
        <v>32</v>
      </c>
      <c r="B59">
        <v>2010</v>
      </c>
      <c r="C59" s="3">
        <v>209612.5</v>
      </c>
      <c r="D59" s="2">
        <f t="shared" si="3"/>
        <v>-4.166872865836964E-3</v>
      </c>
      <c r="E59" s="2"/>
      <c r="F59" s="8">
        <f t="shared" si="2"/>
        <v>1</v>
      </c>
      <c r="G59" s="2"/>
    </row>
    <row r="60" spans="1:7" x14ac:dyDescent="0.25">
      <c r="A60" t="s">
        <v>32</v>
      </c>
      <c r="B60">
        <v>2011</v>
      </c>
      <c r="C60" s="3">
        <v>200871.8</v>
      </c>
      <c r="D60" s="2">
        <f t="shared" si="3"/>
        <v>-4.1699326137515709E-2</v>
      </c>
      <c r="E60" s="2"/>
      <c r="F60" s="8">
        <f t="shared" si="2"/>
        <v>1</v>
      </c>
      <c r="G60" s="2"/>
    </row>
    <row r="61" spans="1:7" x14ac:dyDescent="0.25">
      <c r="A61" t="s">
        <v>32</v>
      </c>
      <c r="B61">
        <v>2012</v>
      </c>
      <c r="C61" s="3">
        <v>191897.91666666701</v>
      </c>
      <c r="D61" s="2">
        <f t="shared" si="3"/>
        <v>-4.4674679737688329E-2</v>
      </c>
      <c r="E61" s="2"/>
      <c r="F61" s="8">
        <f t="shared" si="2"/>
        <v>1</v>
      </c>
      <c r="G61" s="2"/>
    </row>
    <row r="62" spans="1:7" x14ac:dyDescent="0.25">
      <c r="A62" t="s">
        <v>32</v>
      </c>
      <c r="B62">
        <v>2013</v>
      </c>
      <c r="C62" s="3">
        <v>196594.36666666699</v>
      </c>
      <c r="D62" s="2">
        <f t="shared" si="3"/>
        <v>2.4473689353063016E-2</v>
      </c>
      <c r="E62" s="2"/>
      <c r="F62" s="8">
        <f t="shared" si="2"/>
        <v>0</v>
      </c>
      <c r="G62" s="2"/>
    </row>
    <row r="63" spans="1:7" x14ac:dyDescent="0.25">
      <c r="A63" t="s">
        <v>32</v>
      </c>
      <c r="B63">
        <v>2014</v>
      </c>
      <c r="C63" s="3">
        <v>218543.370833333</v>
      </c>
      <c r="D63" s="2">
        <f t="shared" si="3"/>
        <v>0.11164615008466321</v>
      </c>
      <c r="E63" s="2"/>
      <c r="F63" s="8">
        <f t="shared" si="2"/>
        <v>0</v>
      </c>
      <c r="G63" s="2"/>
    </row>
    <row r="64" spans="1:7" x14ac:dyDescent="0.25">
      <c r="A64" t="s">
        <v>32</v>
      </c>
      <c r="B64">
        <v>2015</v>
      </c>
      <c r="C64" s="3">
        <v>234668.83333333299</v>
      </c>
      <c r="D64" s="2">
        <f t="shared" si="3"/>
        <v>7.3786097645110918E-2</v>
      </c>
      <c r="E64" s="2"/>
      <c r="F64" s="8">
        <f t="shared" si="2"/>
        <v>0</v>
      </c>
      <c r="G64" s="2"/>
    </row>
    <row r="65" spans="1:7" x14ac:dyDescent="0.25">
      <c r="A65" t="s">
        <v>33</v>
      </c>
      <c r="B65">
        <v>2007</v>
      </c>
      <c r="C65" s="3">
        <v>380516.66666666698</v>
      </c>
      <c r="D65" s="2"/>
      <c r="E65" s="2"/>
      <c r="F65" s="8">
        <f t="shared" si="2"/>
        <v>0</v>
      </c>
      <c r="G65" s="2"/>
    </row>
    <row r="66" spans="1:7" x14ac:dyDescent="0.25">
      <c r="A66" t="s">
        <v>33</v>
      </c>
      <c r="B66">
        <v>2008</v>
      </c>
      <c r="C66" s="3">
        <v>374954.08333333302</v>
      </c>
      <c r="D66" s="2">
        <f t="shared" si="3"/>
        <v>-1.4618501160704173E-2</v>
      </c>
      <c r="E66" s="7">
        <f>STDEV(D66:D73)</f>
        <v>3.2236791100794145E-2</v>
      </c>
      <c r="F66" s="8">
        <f t="shared" si="2"/>
        <v>1</v>
      </c>
      <c r="G66" s="8">
        <f>SUM(F66:F73)</f>
        <v>1</v>
      </c>
    </row>
    <row r="67" spans="1:7" x14ac:dyDescent="0.25">
      <c r="A67" t="s">
        <v>33</v>
      </c>
      <c r="B67">
        <v>2009</v>
      </c>
      <c r="C67" s="3">
        <v>397247.875</v>
      </c>
      <c r="D67" s="2">
        <f t="shared" si="3"/>
        <v>5.9457391338362531E-2</v>
      </c>
      <c r="E67" s="2"/>
      <c r="F67" s="8">
        <f t="shared" si="2"/>
        <v>0</v>
      </c>
      <c r="G67" s="2"/>
    </row>
    <row r="68" spans="1:7" x14ac:dyDescent="0.25">
      <c r="A68" t="s">
        <v>33</v>
      </c>
      <c r="B68">
        <v>2010</v>
      </c>
      <c r="C68" s="3">
        <v>411180.754166667</v>
      </c>
      <c r="D68" s="2">
        <f t="shared" si="3"/>
        <v>3.5073514657987789E-2</v>
      </c>
      <c r="E68" s="2"/>
      <c r="F68" s="8">
        <f t="shared" si="2"/>
        <v>0</v>
      </c>
      <c r="G68" s="2"/>
    </row>
    <row r="69" spans="1:7" x14ac:dyDescent="0.25">
      <c r="A69" t="s">
        <v>33</v>
      </c>
      <c r="B69">
        <v>2011</v>
      </c>
      <c r="C69" s="3">
        <v>428045.75</v>
      </c>
      <c r="D69" s="2">
        <f t="shared" si="3"/>
        <v>4.1016014641816097E-2</v>
      </c>
      <c r="E69" s="2"/>
      <c r="F69" s="8">
        <f t="shared" si="2"/>
        <v>0</v>
      </c>
      <c r="G69" s="2"/>
    </row>
    <row r="70" spans="1:7" x14ac:dyDescent="0.25">
      <c r="A70" t="s">
        <v>33</v>
      </c>
      <c r="B70">
        <v>2012</v>
      </c>
      <c r="C70" s="3">
        <v>430413.45833333302</v>
      </c>
      <c r="D70" s="2">
        <f t="shared" si="3"/>
        <v>5.5314375468814327E-3</v>
      </c>
      <c r="E70" s="2"/>
      <c r="F70" s="8">
        <f t="shared" si="2"/>
        <v>0</v>
      </c>
      <c r="G70" s="2"/>
    </row>
    <row r="71" spans="1:7" x14ac:dyDescent="0.25">
      <c r="A71" t="s">
        <v>33</v>
      </c>
      <c r="B71">
        <v>2013</v>
      </c>
      <c r="C71" s="3">
        <v>469769.30416666699</v>
      </c>
      <c r="D71" s="2">
        <f t="shared" si="3"/>
        <v>9.1437303066055367E-2</v>
      </c>
      <c r="E71" s="2"/>
      <c r="F71" s="8">
        <f t="shared" si="2"/>
        <v>0</v>
      </c>
      <c r="G71" s="2"/>
    </row>
    <row r="72" spans="1:7" x14ac:dyDescent="0.25">
      <c r="A72" t="s">
        <v>33</v>
      </c>
      <c r="B72">
        <v>2014</v>
      </c>
      <c r="C72" s="3">
        <v>489040.4375</v>
      </c>
      <c r="D72" s="2">
        <f t="shared" si="3"/>
        <v>4.1022546944650747E-2</v>
      </c>
      <c r="E72" s="2"/>
      <c r="F72" s="8">
        <f t="shared" si="2"/>
        <v>0</v>
      </c>
      <c r="G72" s="2"/>
    </row>
    <row r="73" spans="1:7" x14ac:dyDescent="0.25">
      <c r="A73" t="s">
        <v>33</v>
      </c>
      <c r="B73">
        <v>2015</v>
      </c>
      <c r="C73" s="3">
        <v>512759.16666666698</v>
      </c>
      <c r="D73" s="2">
        <f t="shared" si="3"/>
        <v>4.8500547905441824E-2</v>
      </c>
      <c r="E73" s="2"/>
      <c r="F73" s="8">
        <f t="shared" si="2"/>
        <v>0</v>
      </c>
      <c r="G73" s="2"/>
    </row>
    <row r="74" spans="1:7" x14ac:dyDescent="0.25">
      <c r="A74" t="s">
        <v>34</v>
      </c>
      <c r="B74">
        <v>2007</v>
      </c>
      <c r="C74" s="3">
        <v>232945.16666666701</v>
      </c>
      <c r="D74" s="2"/>
      <c r="E74" s="2"/>
      <c r="F74" s="8">
        <f t="shared" si="2"/>
        <v>0</v>
      </c>
      <c r="G74" s="2"/>
    </row>
    <row r="75" spans="1:7" x14ac:dyDescent="0.25">
      <c r="A75" t="s">
        <v>34</v>
      </c>
      <c r="B75">
        <v>2008</v>
      </c>
      <c r="C75" s="3">
        <v>205895.83333333299</v>
      </c>
      <c r="D75" s="2">
        <f t="shared" si="3"/>
        <v>-0.11611888634736203</v>
      </c>
      <c r="E75" s="7">
        <f>STDEV(D75:D82)</f>
        <v>0.12582666686992247</v>
      </c>
      <c r="F75" s="8">
        <f t="shared" si="2"/>
        <v>1</v>
      </c>
      <c r="G75" s="8">
        <f>SUM(F75:F82)</f>
        <v>4</v>
      </c>
    </row>
    <row r="76" spans="1:7" x14ac:dyDescent="0.25">
      <c r="A76" t="s">
        <v>34</v>
      </c>
      <c r="B76">
        <v>2009</v>
      </c>
      <c r="C76" s="3">
        <v>163033.26666666701</v>
      </c>
      <c r="D76" s="2">
        <f t="shared" si="3"/>
        <v>-0.208175978953756</v>
      </c>
      <c r="E76" s="2"/>
      <c r="F76" s="8">
        <f t="shared" si="2"/>
        <v>1</v>
      </c>
      <c r="G76" s="2"/>
    </row>
    <row r="77" spans="1:7" x14ac:dyDescent="0.25">
      <c r="A77" t="s">
        <v>34</v>
      </c>
      <c r="B77">
        <v>2010</v>
      </c>
      <c r="C77" s="3">
        <v>143458.75</v>
      </c>
      <c r="D77" s="2">
        <f t="shared" si="3"/>
        <v>-0.12006455533206292</v>
      </c>
      <c r="E77" s="2"/>
      <c r="F77" s="8">
        <f t="shared" si="2"/>
        <v>1</v>
      </c>
      <c r="G77" s="2"/>
    </row>
    <row r="78" spans="1:7" x14ac:dyDescent="0.25">
      <c r="A78" t="s">
        <v>34</v>
      </c>
      <c r="B78">
        <v>2011</v>
      </c>
      <c r="C78" s="3">
        <v>133052.91666666701</v>
      </c>
      <c r="D78" s="2">
        <f t="shared" si="3"/>
        <v>-7.2535368761633523E-2</v>
      </c>
      <c r="E78" s="2"/>
      <c r="F78" s="8">
        <f t="shared" si="2"/>
        <v>1</v>
      </c>
      <c r="G78" s="2"/>
    </row>
    <row r="79" spans="1:7" x14ac:dyDescent="0.25">
      <c r="A79" t="s">
        <v>34</v>
      </c>
      <c r="B79">
        <v>2012</v>
      </c>
      <c r="C79" s="3">
        <v>138160</v>
      </c>
      <c r="D79" s="2">
        <f t="shared" si="3"/>
        <v>3.8383851036708931E-2</v>
      </c>
      <c r="E79" s="2"/>
      <c r="F79" s="8">
        <f t="shared" si="2"/>
        <v>0</v>
      </c>
      <c r="G79" s="2"/>
    </row>
    <row r="80" spans="1:7" x14ac:dyDescent="0.25">
      <c r="A80" t="s">
        <v>34</v>
      </c>
      <c r="B80">
        <v>2013</v>
      </c>
      <c r="C80" s="3">
        <v>157657.5</v>
      </c>
      <c r="D80" s="2">
        <f t="shared" si="3"/>
        <v>0.14112261146496816</v>
      </c>
      <c r="E80" s="2"/>
      <c r="F80" s="8">
        <f t="shared" si="2"/>
        <v>0</v>
      </c>
      <c r="G80" s="2"/>
    </row>
    <row r="81" spans="1:7" x14ac:dyDescent="0.25">
      <c r="A81" t="s">
        <v>34</v>
      </c>
      <c r="B81">
        <v>2014</v>
      </c>
      <c r="C81" s="3">
        <v>174920.41666666701</v>
      </c>
      <c r="D81" s="2">
        <f t="shared" si="3"/>
        <v>0.10949632378204022</v>
      </c>
      <c r="E81" s="2"/>
      <c r="F81" s="8">
        <f t="shared" si="2"/>
        <v>0</v>
      </c>
      <c r="G81" s="2"/>
    </row>
    <row r="82" spans="1:7" x14ac:dyDescent="0.25">
      <c r="A82" t="s">
        <v>34</v>
      </c>
      <c r="B82">
        <v>2015</v>
      </c>
      <c r="C82" s="3">
        <v>186333.33333333299</v>
      </c>
      <c r="D82" s="2">
        <f t="shared" si="3"/>
        <v>6.5246338215708369E-2</v>
      </c>
      <c r="E82" s="2"/>
      <c r="F82" s="8">
        <f t="shared" si="2"/>
        <v>0</v>
      </c>
      <c r="G82" s="2"/>
    </row>
    <row r="83" spans="1:7" x14ac:dyDescent="0.25">
      <c r="A83" t="s">
        <v>35</v>
      </c>
      <c r="B83">
        <v>2007</v>
      </c>
      <c r="C83" s="3">
        <v>177985.04166666701</v>
      </c>
      <c r="D83" s="2"/>
      <c r="E83" s="2"/>
      <c r="F83" s="8">
        <f t="shared" si="2"/>
        <v>0</v>
      </c>
      <c r="G83" s="2"/>
    </row>
    <row r="84" spans="1:7" x14ac:dyDescent="0.25">
      <c r="A84" t="s">
        <v>35</v>
      </c>
      <c r="B84">
        <v>2008</v>
      </c>
      <c r="C84" s="3">
        <v>173236.97916666701</v>
      </c>
      <c r="D84" s="2">
        <f t="shared" si="3"/>
        <v>-2.6676750223157748E-2</v>
      </c>
      <c r="E84" s="7">
        <f>STDEV(D84:D91)</f>
        <v>9.3252616974599148E-2</v>
      </c>
      <c r="F84" s="8">
        <f t="shared" si="2"/>
        <v>1</v>
      </c>
      <c r="G84" s="8">
        <f>SUM(F84:F91)</f>
        <v>4</v>
      </c>
    </row>
    <row r="85" spans="1:7" x14ac:dyDescent="0.25">
      <c r="A85" t="s">
        <v>35</v>
      </c>
      <c r="B85">
        <v>2009</v>
      </c>
      <c r="C85" s="3">
        <v>154610.316666667</v>
      </c>
      <c r="D85" s="2">
        <f t="shared" si="3"/>
        <v>-0.10752128436781246</v>
      </c>
      <c r="E85" s="2"/>
      <c r="F85" s="8">
        <f t="shared" si="2"/>
        <v>1</v>
      </c>
      <c r="G85" s="2"/>
    </row>
    <row r="86" spans="1:7" x14ac:dyDescent="0.25">
      <c r="A86" t="s">
        <v>35</v>
      </c>
      <c r="B86">
        <v>2010</v>
      </c>
      <c r="C86" s="3">
        <v>140542.25</v>
      </c>
      <c r="D86" s="2">
        <f t="shared" si="3"/>
        <v>-9.0990478319743245E-2</v>
      </c>
      <c r="E86" s="2"/>
      <c r="F86" s="8">
        <f t="shared" si="2"/>
        <v>1</v>
      </c>
      <c r="G86" s="2"/>
    </row>
    <row r="87" spans="1:7" x14ac:dyDescent="0.25">
      <c r="A87" t="s">
        <v>35</v>
      </c>
      <c r="B87">
        <v>2011</v>
      </c>
      <c r="C87" s="3">
        <v>128983.704166667</v>
      </c>
      <c r="D87" s="2">
        <f t="shared" si="3"/>
        <v>-8.2242498845244066E-2</v>
      </c>
      <c r="E87" s="2"/>
      <c r="F87" s="8">
        <f t="shared" si="2"/>
        <v>1</v>
      </c>
      <c r="G87" s="2"/>
    </row>
    <row r="88" spans="1:7" x14ac:dyDescent="0.25">
      <c r="A88" t="s">
        <v>35</v>
      </c>
      <c r="B88">
        <v>2012</v>
      </c>
      <c r="C88" s="3">
        <v>130909.79166666701</v>
      </c>
      <c r="D88" s="2">
        <f t="shared" si="3"/>
        <v>1.4932797227711838E-2</v>
      </c>
      <c r="E88" s="2"/>
      <c r="F88" s="8">
        <f t="shared" si="2"/>
        <v>0</v>
      </c>
      <c r="G88" s="2"/>
    </row>
    <row r="89" spans="1:7" x14ac:dyDescent="0.25">
      <c r="A89" t="s">
        <v>35</v>
      </c>
      <c r="B89">
        <v>2013</v>
      </c>
      <c r="C89" s="3">
        <v>152465.5</v>
      </c>
      <c r="D89" s="2">
        <f t="shared" si="3"/>
        <v>0.16466077944894958</v>
      </c>
      <c r="E89" s="2"/>
      <c r="F89" s="8">
        <f t="shared" si="2"/>
        <v>0</v>
      </c>
      <c r="G89" s="2"/>
    </row>
    <row r="90" spans="1:7" x14ac:dyDescent="0.25">
      <c r="A90" t="s">
        <v>35</v>
      </c>
      <c r="B90">
        <v>2014</v>
      </c>
      <c r="C90" s="3">
        <v>162088.75</v>
      </c>
      <c r="D90" s="2">
        <f t="shared" si="3"/>
        <v>6.3117557742571273E-2</v>
      </c>
      <c r="E90" s="2"/>
      <c r="F90" s="8">
        <f t="shared" si="2"/>
        <v>0</v>
      </c>
      <c r="G90" s="2"/>
    </row>
    <row r="91" spans="1:7" x14ac:dyDescent="0.25">
      <c r="A91" t="s">
        <v>35</v>
      </c>
      <c r="B91">
        <v>2015</v>
      </c>
      <c r="C91" s="3">
        <v>169816.66666666701</v>
      </c>
      <c r="D91" s="2">
        <f t="shared" si="3"/>
        <v>4.7677069917973991E-2</v>
      </c>
      <c r="E91" s="2"/>
      <c r="F91" s="8">
        <f t="shared" si="2"/>
        <v>0</v>
      </c>
      <c r="G91" s="2"/>
    </row>
    <row r="92" spans="1:7" x14ac:dyDescent="0.25">
      <c r="A92" t="s">
        <v>36</v>
      </c>
      <c r="B92">
        <v>2007</v>
      </c>
      <c r="C92" s="3">
        <v>430654.08333333302</v>
      </c>
      <c r="D92" s="2"/>
      <c r="E92" s="2"/>
      <c r="F92" s="8">
        <f t="shared" si="2"/>
        <v>0</v>
      </c>
      <c r="G92" s="2"/>
    </row>
    <row r="93" spans="1:7" x14ac:dyDescent="0.25">
      <c r="A93" t="s">
        <v>36</v>
      </c>
      <c r="B93">
        <v>2008</v>
      </c>
      <c r="C93" s="3">
        <v>402212.08333333302</v>
      </c>
      <c r="D93" s="2">
        <f t="shared" si="3"/>
        <v>-6.6043725348786358E-2</v>
      </c>
      <c r="E93" s="7">
        <f>STDEV(D93:D100)</f>
        <v>4.9432215319137107E-2</v>
      </c>
      <c r="F93" s="8">
        <f t="shared" si="2"/>
        <v>1</v>
      </c>
      <c r="G93" s="8">
        <f>SUM(F93:F100)</f>
        <v>4</v>
      </c>
    </row>
    <row r="94" spans="1:7" x14ac:dyDescent="0.25">
      <c r="A94" t="s">
        <v>36</v>
      </c>
      <c r="B94">
        <v>2009</v>
      </c>
      <c r="C94" s="3">
        <v>390636.82500000001</v>
      </c>
      <c r="D94" s="2">
        <f t="shared" si="3"/>
        <v>-2.8778992011883497E-2</v>
      </c>
      <c r="E94" s="2"/>
      <c r="F94" s="8">
        <f t="shared" si="2"/>
        <v>1</v>
      </c>
      <c r="G94" s="2"/>
    </row>
    <row r="95" spans="1:7" x14ac:dyDescent="0.25">
      <c r="A95" t="s">
        <v>36</v>
      </c>
      <c r="B95">
        <v>2010</v>
      </c>
      <c r="C95" s="3">
        <v>396183.33333333302</v>
      </c>
      <c r="D95" s="2">
        <f t="shared" si="3"/>
        <v>1.4198631512359366E-2</v>
      </c>
      <c r="E95" s="2"/>
      <c r="F95" s="8">
        <f t="shared" si="2"/>
        <v>0</v>
      </c>
      <c r="G95" s="2"/>
    </row>
    <row r="96" spans="1:7" x14ac:dyDescent="0.25">
      <c r="A96" t="s">
        <v>36</v>
      </c>
      <c r="B96">
        <v>2011</v>
      </c>
      <c r="C96" s="3">
        <v>391476.14583333302</v>
      </c>
      <c r="D96" s="2">
        <f t="shared" si="3"/>
        <v>-1.1881336502460991E-2</v>
      </c>
      <c r="E96" s="2"/>
      <c r="F96" s="8">
        <f t="shared" si="2"/>
        <v>1</v>
      </c>
      <c r="G96" s="2"/>
    </row>
    <row r="97" spans="1:7" x14ac:dyDescent="0.25">
      <c r="A97" t="s">
        <v>36</v>
      </c>
      <c r="B97">
        <v>2012</v>
      </c>
      <c r="C97" s="3">
        <v>385693.125</v>
      </c>
      <c r="D97" s="2">
        <f t="shared" si="3"/>
        <v>-1.4772345377577833E-2</v>
      </c>
      <c r="E97" s="2"/>
      <c r="F97" s="8">
        <f t="shared" si="2"/>
        <v>1</v>
      </c>
      <c r="G97" s="2"/>
    </row>
    <row r="98" spans="1:7" x14ac:dyDescent="0.25">
      <c r="A98" t="s">
        <v>36</v>
      </c>
      <c r="B98">
        <v>2013</v>
      </c>
      <c r="C98" s="3">
        <v>407261.27500000002</v>
      </c>
      <c r="D98" s="2">
        <f t="shared" si="3"/>
        <v>5.5920493786348988E-2</v>
      </c>
      <c r="E98" s="2"/>
      <c r="F98" s="8">
        <f t="shared" si="2"/>
        <v>0</v>
      </c>
      <c r="G98" s="2"/>
    </row>
    <row r="99" spans="1:7" x14ac:dyDescent="0.25">
      <c r="A99" t="s">
        <v>36</v>
      </c>
      <c r="B99">
        <v>2014</v>
      </c>
      <c r="C99" s="3">
        <v>441281.42916666699</v>
      </c>
      <c r="D99" s="2">
        <f t="shared" si="3"/>
        <v>8.3533977461193593E-2</v>
      </c>
      <c r="E99" s="2"/>
      <c r="F99" s="8">
        <f t="shared" si="2"/>
        <v>0</v>
      </c>
      <c r="G99" s="2"/>
    </row>
    <row r="100" spans="1:7" x14ac:dyDescent="0.25">
      <c r="A100" t="s">
        <v>36</v>
      </c>
      <c r="B100">
        <v>2015</v>
      </c>
      <c r="C100" s="3">
        <v>460940.25</v>
      </c>
      <c r="D100" s="2">
        <f t="shared" si="3"/>
        <v>4.4549395315496267E-2</v>
      </c>
      <c r="E100" s="2"/>
      <c r="F100" s="8">
        <f t="shared" si="2"/>
        <v>0</v>
      </c>
      <c r="G100" s="2"/>
    </row>
    <row r="101" spans="1:7" x14ac:dyDescent="0.25">
      <c r="A101" t="s">
        <v>38</v>
      </c>
      <c r="B101">
        <v>2007</v>
      </c>
      <c r="C101" s="3">
        <v>219231.25</v>
      </c>
      <c r="D101" s="2"/>
      <c r="E101" s="2"/>
      <c r="F101" s="8">
        <f t="shared" si="2"/>
        <v>0</v>
      </c>
      <c r="G101" s="2"/>
    </row>
    <row r="102" spans="1:7" x14ac:dyDescent="0.25">
      <c r="A102" t="s">
        <v>38</v>
      </c>
      <c r="B102">
        <v>2008</v>
      </c>
      <c r="C102" s="3">
        <v>210118.33333333299</v>
      </c>
      <c r="D102" s="2">
        <f t="shared" si="3"/>
        <v>-4.1567598901465948E-2</v>
      </c>
      <c r="E102" s="7">
        <f>STDEV(D102:D109)</f>
        <v>7.4497409396143757E-2</v>
      </c>
      <c r="F102" s="8">
        <f t="shared" si="2"/>
        <v>1</v>
      </c>
      <c r="G102" s="8">
        <f>SUM(F102:F109)</f>
        <v>5</v>
      </c>
    </row>
    <row r="103" spans="1:7" x14ac:dyDescent="0.25">
      <c r="A103" t="s">
        <v>38</v>
      </c>
      <c r="B103">
        <v>2009</v>
      </c>
      <c r="C103" s="3">
        <v>183970.41666666701</v>
      </c>
      <c r="D103" s="2">
        <f t="shared" si="3"/>
        <v>-0.12444376581449833</v>
      </c>
      <c r="E103" s="2"/>
      <c r="F103" s="8">
        <f t="shared" si="2"/>
        <v>1</v>
      </c>
      <c r="G103" s="2"/>
    </row>
    <row r="104" spans="1:7" x14ac:dyDescent="0.25">
      <c r="A104" t="s">
        <v>38</v>
      </c>
      <c r="B104">
        <v>2010</v>
      </c>
      <c r="C104" s="3">
        <v>178717.70833333299</v>
      </c>
      <c r="D104" s="2">
        <f t="shared" si="3"/>
        <v>-2.8551918447036563E-2</v>
      </c>
      <c r="E104" s="2"/>
      <c r="F104" s="8">
        <f t="shared" si="2"/>
        <v>1</v>
      </c>
      <c r="G104" s="2"/>
    </row>
    <row r="105" spans="1:7" x14ac:dyDescent="0.25">
      <c r="A105" t="s">
        <v>38</v>
      </c>
      <c r="B105">
        <v>2011</v>
      </c>
      <c r="C105" s="3">
        <v>163789.58333333299</v>
      </c>
      <c r="D105" s="2">
        <f t="shared" si="3"/>
        <v>-8.352907576543564E-2</v>
      </c>
      <c r="E105" s="2"/>
      <c r="F105" s="8">
        <f t="shared" si="2"/>
        <v>1</v>
      </c>
      <c r="G105" s="2"/>
    </row>
    <row r="106" spans="1:7" x14ac:dyDescent="0.25">
      <c r="A106" t="s">
        <v>38</v>
      </c>
      <c r="B106">
        <v>2012</v>
      </c>
      <c r="C106" s="3">
        <v>151192.5</v>
      </c>
      <c r="D106" s="2">
        <f t="shared" si="3"/>
        <v>-7.6910161665753179E-2</v>
      </c>
      <c r="E106" s="2"/>
      <c r="F106" s="8">
        <f t="shared" si="2"/>
        <v>1</v>
      </c>
      <c r="G106" s="2"/>
    </row>
    <row r="107" spans="1:7" x14ac:dyDescent="0.25">
      <c r="A107" t="s">
        <v>38</v>
      </c>
      <c r="B107">
        <v>2013</v>
      </c>
      <c r="C107" s="3">
        <v>160491.66666666701</v>
      </c>
      <c r="D107" s="2">
        <f t="shared" si="3"/>
        <v>6.1505475910954621E-2</v>
      </c>
      <c r="E107" s="2"/>
      <c r="F107" s="8">
        <f t="shared" si="2"/>
        <v>0</v>
      </c>
      <c r="G107" s="2"/>
    </row>
    <row r="108" spans="1:7" x14ac:dyDescent="0.25">
      <c r="A108" t="s">
        <v>38</v>
      </c>
      <c r="B108">
        <v>2014</v>
      </c>
      <c r="C108" s="3">
        <v>171793.75</v>
      </c>
      <c r="D108" s="2">
        <f t="shared" si="3"/>
        <v>7.0421621060281242E-2</v>
      </c>
      <c r="E108" s="2"/>
      <c r="F108" s="8">
        <f t="shared" si="2"/>
        <v>0</v>
      </c>
      <c r="G108" s="2"/>
    </row>
    <row r="109" spans="1:7" x14ac:dyDescent="0.25">
      <c r="A109" t="s">
        <v>38</v>
      </c>
      <c r="B109">
        <v>2015</v>
      </c>
      <c r="C109" s="3">
        <v>180889.58333333299</v>
      </c>
      <c r="D109" s="2">
        <f t="shared" si="3"/>
        <v>5.2946241253439046E-2</v>
      </c>
      <c r="E109" s="2"/>
      <c r="F109" s="8">
        <f t="shared" si="2"/>
        <v>0</v>
      </c>
      <c r="G109" s="2"/>
    </row>
    <row r="110" spans="1:7" x14ac:dyDescent="0.25">
      <c r="A110" t="s">
        <v>40</v>
      </c>
      <c r="B110">
        <v>2007</v>
      </c>
      <c r="C110" s="3">
        <v>142383.72916666701</v>
      </c>
      <c r="D110" s="2"/>
      <c r="E110" s="2"/>
      <c r="F110" s="8">
        <f t="shared" ref="F110:F161" si="4">IF(D110&lt;0,1,0)</f>
        <v>0</v>
      </c>
      <c r="G110" s="2"/>
    </row>
    <row r="111" spans="1:7" x14ac:dyDescent="0.25">
      <c r="A111" t="s">
        <v>40</v>
      </c>
      <c r="B111">
        <v>2008</v>
      </c>
      <c r="C111" s="3">
        <v>142625.4375</v>
      </c>
      <c r="D111" s="2">
        <f t="shared" ref="D111:D161" si="5">(C111-C110)/C110</f>
        <v>1.6975839497086254E-3</v>
      </c>
      <c r="E111" s="7">
        <f>STDEV(D111:D118)</f>
        <v>3.1898846512300898E-2</v>
      </c>
      <c r="F111" s="8">
        <f t="shared" si="4"/>
        <v>0</v>
      </c>
      <c r="G111" s="8">
        <f>SUM(F111:F118)</f>
        <v>5</v>
      </c>
    </row>
    <row r="112" spans="1:7" x14ac:dyDescent="0.25">
      <c r="A112" t="s">
        <v>40</v>
      </c>
      <c r="B112">
        <v>2009</v>
      </c>
      <c r="C112" s="3">
        <v>135232.5</v>
      </c>
      <c r="D112" s="2">
        <f t="shared" si="5"/>
        <v>-5.1834635038367542E-2</v>
      </c>
      <c r="E112" s="2"/>
      <c r="F112" s="8">
        <f t="shared" si="4"/>
        <v>1</v>
      </c>
      <c r="G112" s="2"/>
    </row>
    <row r="113" spans="1:7" x14ac:dyDescent="0.25">
      <c r="A113" t="s">
        <v>40</v>
      </c>
      <c r="B113">
        <v>2010</v>
      </c>
      <c r="C113" s="3">
        <v>137674.58333333299</v>
      </c>
      <c r="D113" s="2">
        <f t="shared" si="5"/>
        <v>1.8058405585439846E-2</v>
      </c>
      <c r="E113" s="2"/>
      <c r="F113" s="8">
        <f t="shared" si="4"/>
        <v>0</v>
      </c>
      <c r="G113" s="2"/>
    </row>
    <row r="114" spans="1:7" x14ac:dyDescent="0.25">
      <c r="A114" t="s">
        <v>40</v>
      </c>
      <c r="B114">
        <v>2011</v>
      </c>
      <c r="C114" s="3">
        <v>134077.08333333299</v>
      </c>
      <c r="D114" s="2">
        <f t="shared" si="5"/>
        <v>-2.6130458599535805E-2</v>
      </c>
      <c r="E114" s="2"/>
      <c r="F114" s="8">
        <f t="shared" si="4"/>
        <v>1</v>
      </c>
      <c r="G114" s="2"/>
    </row>
    <row r="115" spans="1:7" x14ac:dyDescent="0.25">
      <c r="A115" t="s">
        <v>40</v>
      </c>
      <c r="B115">
        <v>2012</v>
      </c>
      <c r="C115" s="3">
        <v>130584.58333333299</v>
      </c>
      <c r="D115" s="2">
        <f t="shared" si="5"/>
        <v>-2.6048448498220928E-2</v>
      </c>
      <c r="E115" s="2"/>
      <c r="F115" s="8">
        <f t="shared" si="4"/>
        <v>1</v>
      </c>
      <c r="G115" s="2"/>
    </row>
    <row r="116" spans="1:7" x14ac:dyDescent="0.25">
      <c r="A116" t="s">
        <v>40</v>
      </c>
      <c r="B116">
        <v>2013</v>
      </c>
      <c r="C116" s="3">
        <v>134130.72916666701</v>
      </c>
      <c r="D116" s="2">
        <f t="shared" si="5"/>
        <v>2.7155930224029928E-2</v>
      </c>
      <c r="E116" s="2"/>
      <c r="F116" s="8">
        <f t="shared" si="4"/>
        <v>0</v>
      </c>
      <c r="G116" s="2"/>
    </row>
    <row r="117" spans="1:7" x14ac:dyDescent="0.25">
      <c r="A117" t="s">
        <v>40</v>
      </c>
      <c r="B117">
        <v>2014</v>
      </c>
      <c r="C117" s="3">
        <v>132773.64583333299</v>
      </c>
      <c r="D117" s="2">
        <f t="shared" si="5"/>
        <v>-1.0117616908260742E-2</v>
      </c>
      <c r="E117" s="2"/>
      <c r="F117" s="8">
        <f t="shared" si="4"/>
        <v>1</v>
      </c>
      <c r="G117" s="2"/>
    </row>
    <row r="118" spans="1:7" x14ac:dyDescent="0.25">
      <c r="A118" t="s">
        <v>40</v>
      </c>
      <c r="B118">
        <v>2015</v>
      </c>
      <c r="C118" s="3">
        <v>124329.16666666701</v>
      </c>
      <c r="D118" s="2">
        <f t="shared" si="5"/>
        <v>-6.3600567067850972E-2</v>
      </c>
      <c r="E118" s="2"/>
      <c r="F118" s="8">
        <f t="shared" si="4"/>
        <v>1</v>
      </c>
      <c r="G118" s="2"/>
    </row>
    <row r="119" spans="1:7" x14ac:dyDescent="0.25">
      <c r="A119" t="s">
        <v>42</v>
      </c>
      <c r="B119">
        <v>2007</v>
      </c>
      <c r="C119" s="3">
        <v>134597.91666666701</v>
      </c>
      <c r="D119" s="2"/>
      <c r="E119" s="2"/>
      <c r="F119" s="8">
        <f t="shared" si="4"/>
        <v>0</v>
      </c>
      <c r="G119" s="2"/>
    </row>
    <row r="120" spans="1:7" x14ac:dyDescent="0.25">
      <c r="A120" t="s">
        <v>42</v>
      </c>
      <c r="B120">
        <v>2008</v>
      </c>
      <c r="C120" s="3">
        <v>135387.91666666701</v>
      </c>
      <c r="D120" s="2">
        <f t="shared" si="5"/>
        <v>5.8693330444069382E-3</v>
      </c>
      <c r="E120" s="7">
        <f>STDEV(D120:D127)</f>
        <v>5.0322046511776526E-2</v>
      </c>
      <c r="F120" s="8">
        <f t="shared" si="4"/>
        <v>0</v>
      </c>
      <c r="G120" s="8">
        <f>SUM(F120:F127)</f>
        <v>3</v>
      </c>
    </row>
    <row r="121" spans="1:7" x14ac:dyDescent="0.25">
      <c r="A121" t="s">
        <v>42</v>
      </c>
      <c r="B121">
        <v>2009</v>
      </c>
      <c r="C121" s="3">
        <v>127664.16666666701</v>
      </c>
      <c r="D121" s="2">
        <f t="shared" si="5"/>
        <v>-5.7049035025897664E-2</v>
      </c>
      <c r="E121" s="2"/>
      <c r="F121" s="8">
        <f t="shared" si="4"/>
        <v>1</v>
      </c>
      <c r="G121" s="2"/>
    </row>
    <row r="122" spans="1:7" x14ac:dyDescent="0.25">
      <c r="A122" t="s">
        <v>42</v>
      </c>
      <c r="B122">
        <v>2010</v>
      </c>
      <c r="C122" s="3">
        <v>132660.70833333299</v>
      </c>
      <c r="D122" s="2">
        <f t="shared" si="5"/>
        <v>3.9138168501988743E-2</v>
      </c>
      <c r="E122" s="2"/>
      <c r="F122" s="8">
        <f t="shared" si="4"/>
        <v>0</v>
      </c>
      <c r="G122" s="2"/>
    </row>
    <row r="123" spans="1:7" x14ac:dyDescent="0.25">
      <c r="A123" t="s">
        <v>42</v>
      </c>
      <c r="B123">
        <v>2011</v>
      </c>
      <c r="C123" s="3">
        <v>124918.08333333299</v>
      </c>
      <c r="D123" s="2">
        <f t="shared" si="5"/>
        <v>-5.8364116227581982E-2</v>
      </c>
      <c r="E123" s="2"/>
      <c r="F123" s="8">
        <f t="shared" si="4"/>
        <v>1</v>
      </c>
      <c r="G123" s="2"/>
    </row>
    <row r="124" spans="1:7" x14ac:dyDescent="0.25">
      <c r="A124" t="s">
        <v>42</v>
      </c>
      <c r="B124">
        <v>2012</v>
      </c>
      <c r="C124" s="3">
        <v>122471.66666666701</v>
      </c>
      <c r="D124" s="2">
        <f t="shared" si="5"/>
        <v>-1.9584167491090449E-2</v>
      </c>
      <c r="E124" s="2"/>
      <c r="F124" s="8">
        <f t="shared" si="4"/>
        <v>1</v>
      </c>
      <c r="G124" s="2"/>
    </row>
    <row r="125" spans="1:7" x14ac:dyDescent="0.25">
      <c r="A125" t="s">
        <v>42</v>
      </c>
      <c r="B125">
        <v>2013</v>
      </c>
      <c r="C125" s="3">
        <v>132667.625</v>
      </c>
      <c r="D125" s="2">
        <f t="shared" si="5"/>
        <v>8.3251568389964739E-2</v>
      </c>
      <c r="E125" s="2"/>
      <c r="F125" s="8">
        <f t="shared" si="4"/>
        <v>0</v>
      </c>
      <c r="G125" s="2"/>
    </row>
    <row r="126" spans="1:7" x14ac:dyDescent="0.25">
      <c r="A126" t="s">
        <v>42</v>
      </c>
      <c r="B126">
        <v>2014</v>
      </c>
      <c r="C126" s="3">
        <v>135285.42083333299</v>
      </c>
      <c r="D126" s="2">
        <f t="shared" si="5"/>
        <v>1.9731986860645073E-2</v>
      </c>
      <c r="E126" s="2"/>
      <c r="F126" s="8">
        <f t="shared" si="4"/>
        <v>0</v>
      </c>
      <c r="G126" s="2"/>
    </row>
    <row r="127" spans="1:7" x14ac:dyDescent="0.25">
      <c r="A127" t="s">
        <v>42</v>
      </c>
      <c r="B127">
        <v>2015</v>
      </c>
      <c r="C127" s="3">
        <v>141705.41666666701</v>
      </c>
      <c r="D127" s="2">
        <f t="shared" si="5"/>
        <v>4.745519357361673E-2</v>
      </c>
      <c r="E127" s="2"/>
      <c r="F127" s="8">
        <f t="shared" si="4"/>
        <v>0</v>
      </c>
      <c r="G127" s="2"/>
    </row>
    <row r="128" spans="1:7" x14ac:dyDescent="0.25">
      <c r="A128" t="s">
        <v>43</v>
      </c>
      <c r="B128">
        <v>2007</v>
      </c>
      <c r="C128" s="3">
        <v>199202.91666666701</v>
      </c>
      <c r="D128" s="2"/>
      <c r="E128" s="2"/>
      <c r="F128" s="8">
        <f t="shared" si="4"/>
        <v>0</v>
      </c>
      <c r="G128" s="2"/>
    </row>
    <row r="129" spans="1:7" x14ac:dyDescent="0.25">
      <c r="A129" t="s">
        <v>43</v>
      </c>
      <c r="B129">
        <v>2008</v>
      </c>
      <c r="C129" s="3">
        <v>182908.33333333299</v>
      </c>
      <c r="D129" s="2">
        <f t="shared" si="5"/>
        <v>-8.1798919443535512E-2</v>
      </c>
      <c r="E129" s="7">
        <f>STDEV(D129:D136)</f>
        <v>0.4199012023954749</v>
      </c>
      <c r="F129" s="8">
        <f t="shared" si="4"/>
        <v>1</v>
      </c>
      <c r="G129" s="8">
        <f>SUM(F129:F136)</f>
        <v>5</v>
      </c>
    </row>
    <row r="130" spans="1:7" x14ac:dyDescent="0.25">
      <c r="A130" t="s">
        <v>43</v>
      </c>
      <c r="B130">
        <v>2009</v>
      </c>
      <c r="C130" s="3">
        <v>142545.32083333301</v>
      </c>
      <c r="D130" s="2">
        <f t="shared" si="5"/>
        <v>-0.22067344753747356</v>
      </c>
      <c r="E130" s="2"/>
      <c r="F130" s="8">
        <f t="shared" si="4"/>
        <v>1</v>
      </c>
      <c r="G130" s="2"/>
    </row>
    <row r="131" spans="1:7" x14ac:dyDescent="0.25">
      <c r="A131" t="s">
        <v>43</v>
      </c>
      <c r="B131">
        <v>2010</v>
      </c>
      <c r="C131" s="3">
        <v>97409.166666666701</v>
      </c>
      <c r="D131" s="2">
        <f t="shared" si="5"/>
        <v>-0.31664423569147143</v>
      </c>
      <c r="E131" s="2"/>
      <c r="F131" s="8">
        <f t="shared" si="4"/>
        <v>1</v>
      </c>
      <c r="G131" s="2"/>
    </row>
    <row r="132" spans="1:7" x14ac:dyDescent="0.25">
      <c r="A132" t="s">
        <v>43</v>
      </c>
      <c r="B132">
        <v>2011</v>
      </c>
      <c r="C132" s="3">
        <v>163204.58333333299</v>
      </c>
      <c r="D132" s="2">
        <f t="shared" si="5"/>
        <v>0.67545405548758697</v>
      </c>
      <c r="E132" s="2"/>
      <c r="F132" s="8">
        <f t="shared" si="4"/>
        <v>0</v>
      </c>
      <c r="G132" s="2"/>
    </row>
    <row r="133" spans="1:7" x14ac:dyDescent="0.25">
      <c r="A133" t="s">
        <v>43</v>
      </c>
      <c r="B133">
        <v>2012</v>
      </c>
      <c r="C133" s="3">
        <v>187439.38750000001</v>
      </c>
      <c r="D133" s="2">
        <f t="shared" si="5"/>
        <v>0.14849340423956886</v>
      </c>
      <c r="E133" s="2"/>
      <c r="F133" s="8">
        <f t="shared" si="4"/>
        <v>0</v>
      </c>
      <c r="G133" s="2"/>
    </row>
    <row r="134" spans="1:7" x14ac:dyDescent="0.25">
      <c r="A134" t="s">
        <v>43</v>
      </c>
      <c r="B134">
        <v>2013</v>
      </c>
      <c r="C134" s="3">
        <v>183665.47083333301</v>
      </c>
      <c r="D134" s="2">
        <f t="shared" si="5"/>
        <v>-2.0134064227386606E-2</v>
      </c>
      <c r="E134" s="2"/>
      <c r="F134" s="8">
        <f t="shared" si="4"/>
        <v>1</v>
      </c>
      <c r="G134" s="2"/>
    </row>
    <row r="135" spans="1:7" x14ac:dyDescent="0.25">
      <c r="A135" t="s">
        <v>43</v>
      </c>
      <c r="B135">
        <v>2014</v>
      </c>
      <c r="C135" s="3">
        <v>37795.833333333299</v>
      </c>
      <c r="D135" s="2">
        <f t="shared" si="5"/>
        <v>-0.79421372366920795</v>
      </c>
      <c r="E135" s="2"/>
      <c r="F135" s="8">
        <f t="shared" si="4"/>
        <v>1</v>
      </c>
      <c r="G135" s="2"/>
    </row>
    <row r="136" spans="1:7" x14ac:dyDescent="0.25">
      <c r="A136" t="s">
        <v>43</v>
      </c>
      <c r="B136">
        <v>2015</v>
      </c>
      <c r="C136" s="3">
        <v>40521.204749999997</v>
      </c>
      <c r="D136" s="2">
        <f t="shared" si="5"/>
        <v>7.2107721309669068E-2</v>
      </c>
      <c r="E136" s="2"/>
      <c r="F136" s="8">
        <f t="shared" si="4"/>
        <v>0</v>
      </c>
      <c r="G136" s="2"/>
    </row>
    <row r="137" spans="1:7" x14ac:dyDescent="0.25">
      <c r="A137" t="s">
        <v>44</v>
      </c>
      <c r="B137">
        <v>2007</v>
      </c>
      <c r="C137" s="3">
        <v>308177.91666666698</v>
      </c>
      <c r="D137" s="2"/>
      <c r="E137" s="2"/>
      <c r="F137" s="8">
        <f t="shared" si="4"/>
        <v>0</v>
      </c>
      <c r="G137" s="2"/>
    </row>
    <row r="138" spans="1:7" x14ac:dyDescent="0.25">
      <c r="A138" t="s">
        <v>44</v>
      </c>
      <c r="B138">
        <v>2008</v>
      </c>
      <c r="C138" s="3">
        <v>291958.33333333302</v>
      </c>
      <c r="D138" s="2">
        <f t="shared" si="5"/>
        <v>-5.2630582712639547E-2</v>
      </c>
      <c r="E138" s="7">
        <f>STDEV(D138:D145)</f>
        <v>5.3519138992104406E-2</v>
      </c>
      <c r="F138" s="8">
        <f t="shared" si="4"/>
        <v>1</v>
      </c>
      <c r="G138" s="8">
        <f>SUM(F138:F145)</f>
        <v>4</v>
      </c>
    </row>
    <row r="139" spans="1:7" x14ac:dyDescent="0.25">
      <c r="A139" t="s">
        <v>44</v>
      </c>
      <c r="B139">
        <v>2009</v>
      </c>
      <c r="C139" s="3">
        <v>272802.08333333302</v>
      </c>
      <c r="D139" s="2">
        <f t="shared" si="5"/>
        <v>-6.5612958470101401E-2</v>
      </c>
      <c r="E139" s="2"/>
      <c r="F139" s="8">
        <f t="shared" si="4"/>
        <v>1</v>
      </c>
      <c r="G139" s="2"/>
    </row>
    <row r="140" spans="1:7" x14ac:dyDescent="0.25">
      <c r="A140" t="s">
        <v>44</v>
      </c>
      <c r="B140">
        <v>2010</v>
      </c>
      <c r="C140" s="3">
        <v>279309.41666666698</v>
      </c>
      <c r="D140" s="2">
        <f t="shared" si="5"/>
        <v>2.3853679025547379E-2</v>
      </c>
      <c r="E140" s="2"/>
      <c r="F140" s="8">
        <f t="shared" si="4"/>
        <v>0</v>
      </c>
      <c r="G140" s="2"/>
    </row>
    <row r="141" spans="1:7" x14ac:dyDescent="0.25">
      <c r="A141" t="s">
        <v>44</v>
      </c>
      <c r="B141">
        <v>2011</v>
      </c>
      <c r="C141" s="3">
        <v>255642.90416666699</v>
      </c>
      <c r="D141" s="2">
        <f t="shared" si="5"/>
        <v>-8.4732239902401987E-2</v>
      </c>
      <c r="E141" s="2"/>
      <c r="F141" s="8">
        <f t="shared" si="4"/>
        <v>1</v>
      </c>
      <c r="G141" s="2"/>
    </row>
    <row r="142" spans="1:7" x14ac:dyDescent="0.25">
      <c r="A142" t="s">
        <v>44</v>
      </c>
      <c r="B142">
        <v>2012</v>
      </c>
      <c r="C142" s="3">
        <v>245484.58333333299</v>
      </c>
      <c r="D142" s="2">
        <f t="shared" si="5"/>
        <v>-3.973636923914485E-2</v>
      </c>
      <c r="E142" s="2"/>
      <c r="F142" s="8">
        <f t="shared" si="4"/>
        <v>1</v>
      </c>
      <c r="G142" s="2"/>
    </row>
    <row r="143" spans="1:7" x14ac:dyDescent="0.25">
      <c r="A143" t="s">
        <v>44</v>
      </c>
      <c r="B143">
        <v>2013</v>
      </c>
      <c r="C143" s="3">
        <v>259083.08333333299</v>
      </c>
      <c r="D143" s="2">
        <f t="shared" si="5"/>
        <v>5.539451730675559E-2</v>
      </c>
      <c r="E143" s="2"/>
      <c r="F143" s="8">
        <f t="shared" si="4"/>
        <v>0</v>
      </c>
      <c r="G143" s="2"/>
    </row>
    <row r="144" spans="1:7" x14ac:dyDescent="0.25">
      <c r="A144" t="s">
        <v>44</v>
      </c>
      <c r="B144">
        <v>2014</v>
      </c>
      <c r="C144" s="3">
        <v>269507.02083333302</v>
      </c>
      <c r="D144" s="2">
        <f t="shared" si="5"/>
        <v>4.0233956481785127E-2</v>
      </c>
      <c r="E144" s="2"/>
      <c r="F144" s="8">
        <f t="shared" si="4"/>
        <v>0</v>
      </c>
      <c r="G144" s="2"/>
    </row>
    <row r="145" spans="1:7" x14ac:dyDescent="0.25">
      <c r="A145" t="s">
        <v>44</v>
      </c>
      <c r="B145">
        <v>2015</v>
      </c>
      <c r="C145" s="3">
        <v>274445.83333333302</v>
      </c>
      <c r="D145" s="2">
        <f t="shared" si="5"/>
        <v>1.8325357479478176E-2</v>
      </c>
      <c r="E145" s="2"/>
      <c r="F145" s="8">
        <f t="shared" si="4"/>
        <v>0</v>
      </c>
      <c r="G145" s="2"/>
    </row>
    <row r="146" spans="1:7" x14ac:dyDescent="0.25">
      <c r="A146" t="s">
        <v>45</v>
      </c>
      <c r="B146">
        <v>2007</v>
      </c>
      <c r="C146" s="3">
        <v>315191.25</v>
      </c>
      <c r="D146" s="2"/>
      <c r="E146" s="2"/>
      <c r="F146" s="8">
        <f t="shared" si="4"/>
        <v>0</v>
      </c>
      <c r="G146" s="2"/>
    </row>
    <row r="147" spans="1:7" x14ac:dyDescent="0.25">
      <c r="A147" t="s">
        <v>45</v>
      </c>
      <c r="B147">
        <v>2008</v>
      </c>
      <c r="C147" s="3">
        <v>302741.66666666698</v>
      </c>
      <c r="D147" s="2">
        <f t="shared" si="5"/>
        <v>-3.9498505536981192E-2</v>
      </c>
      <c r="E147" s="7">
        <f>STDEV(D147:D154)</f>
        <v>3.6058143035850101E-2</v>
      </c>
      <c r="F147" s="8">
        <f t="shared" si="4"/>
        <v>1</v>
      </c>
      <c r="G147" s="8">
        <f>SUM(F147:F154)</f>
        <v>3</v>
      </c>
    </row>
    <row r="148" spans="1:7" x14ac:dyDescent="0.25">
      <c r="A148" t="s">
        <v>45</v>
      </c>
      <c r="B148">
        <v>2009</v>
      </c>
      <c r="C148" s="3">
        <v>284267.5</v>
      </c>
      <c r="D148" s="2">
        <f t="shared" si="5"/>
        <v>-6.1022874287760057E-2</v>
      </c>
      <c r="E148" s="2"/>
      <c r="F148" s="8">
        <f t="shared" si="4"/>
        <v>1</v>
      </c>
      <c r="G148" s="2"/>
    </row>
    <row r="149" spans="1:7" x14ac:dyDescent="0.25">
      <c r="A149" t="s">
        <v>45</v>
      </c>
      <c r="B149">
        <v>2010</v>
      </c>
      <c r="C149" s="3">
        <v>297315.45833333302</v>
      </c>
      <c r="D149" s="2">
        <f t="shared" si="5"/>
        <v>4.5900281718216196E-2</v>
      </c>
      <c r="E149" s="2"/>
      <c r="F149" s="8">
        <f t="shared" si="4"/>
        <v>0</v>
      </c>
      <c r="G149" s="2"/>
    </row>
    <row r="150" spans="1:7" x14ac:dyDescent="0.25">
      <c r="A150" t="s">
        <v>45</v>
      </c>
      <c r="B150">
        <v>2011</v>
      </c>
      <c r="C150" s="3">
        <v>301116.66666666698</v>
      </c>
      <c r="D150" s="2">
        <f t="shared" si="5"/>
        <v>1.2785101570710318E-2</v>
      </c>
      <c r="E150" s="2"/>
      <c r="F150" s="8">
        <f t="shared" si="4"/>
        <v>0</v>
      </c>
      <c r="G150" s="2"/>
    </row>
    <row r="151" spans="1:7" x14ac:dyDescent="0.25">
      <c r="A151" t="s">
        <v>45</v>
      </c>
      <c r="B151">
        <v>2012</v>
      </c>
      <c r="C151" s="3">
        <v>303218.54166666698</v>
      </c>
      <c r="D151" s="2">
        <f t="shared" si="5"/>
        <v>6.9802678917363073E-3</v>
      </c>
      <c r="E151" s="2"/>
      <c r="F151" s="8">
        <f t="shared" si="4"/>
        <v>0</v>
      </c>
      <c r="G151" s="2"/>
    </row>
    <row r="152" spans="1:7" x14ac:dyDescent="0.25">
      <c r="A152" t="s">
        <v>45</v>
      </c>
      <c r="B152">
        <v>2013</v>
      </c>
      <c r="C152" s="3">
        <v>311462.91666666698</v>
      </c>
      <c r="D152" s="2">
        <f t="shared" si="5"/>
        <v>2.7189547692842524E-2</v>
      </c>
      <c r="E152" s="2"/>
      <c r="F152" s="8">
        <f t="shared" si="4"/>
        <v>0</v>
      </c>
      <c r="G152" s="2"/>
    </row>
    <row r="153" spans="1:7" x14ac:dyDescent="0.25">
      <c r="A153" t="s">
        <v>45</v>
      </c>
      <c r="B153">
        <v>2014</v>
      </c>
      <c r="C153" s="3">
        <v>320104.58333333302</v>
      </c>
      <c r="D153" s="2">
        <f t="shared" si="5"/>
        <v>2.7745411104316175E-2</v>
      </c>
      <c r="E153" s="2"/>
      <c r="F153" s="8">
        <f t="shared" si="4"/>
        <v>0</v>
      </c>
      <c r="G153" s="2"/>
    </row>
    <row r="154" spans="1:7" x14ac:dyDescent="0.25">
      <c r="A154" t="s">
        <v>45</v>
      </c>
      <c r="B154">
        <v>2015</v>
      </c>
      <c r="C154" s="3">
        <v>318679.16666666698</v>
      </c>
      <c r="D154" s="2">
        <f t="shared" si="5"/>
        <v>-4.4529717501161905E-3</v>
      </c>
      <c r="E154" s="2"/>
      <c r="F154" s="8">
        <f t="shared" si="4"/>
        <v>1</v>
      </c>
      <c r="G154" s="2"/>
    </row>
    <row r="155" spans="1:7" x14ac:dyDescent="0.25">
      <c r="A155" t="s">
        <v>46</v>
      </c>
      <c r="B155">
        <v>2007</v>
      </c>
      <c r="C155" s="3">
        <v>136483.33333333299</v>
      </c>
      <c r="D155" s="2"/>
      <c r="E155" s="2"/>
      <c r="F155" s="8">
        <f t="shared" si="4"/>
        <v>0</v>
      </c>
      <c r="G155" s="2"/>
    </row>
    <row r="156" spans="1:7" x14ac:dyDescent="0.25">
      <c r="A156" t="s">
        <v>46</v>
      </c>
      <c r="B156">
        <v>2008</v>
      </c>
      <c r="C156" s="3">
        <v>127892.75</v>
      </c>
      <c r="D156" s="2">
        <f t="shared" si="5"/>
        <v>-6.2942361704723518E-2</v>
      </c>
      <c r="E156" s="7">
        <f>STDEV(D156:D163)</f>
        <v>9.2624255037366682E-2</v>
      </c>
      <c r="F156" s="8">
        <f t="shared" si="4"/>
        <v>1</v>
      </c>
      <c r="G156" s="8">
        <f>SUM(F156:F163)</f>
        <v>3</v>
      </c>
    </row>
    <row r="157" spans="1:7" x14ac:dyDescent="0.25">
      <c r="A157" t="s">
        <v>46</v>
      </c>
      <c r="B157">
        <v>2009</v>
      </c>
      <c r="C157" s="3">
        <v>106771.425</v>
      </c>
      <c r="D157" s="2">
        <f t="shared" si="5"/>
        <v>-0.16514872813353373</v>
      </c>
      <c r="E157" s="2"/>
      <c r="F157" s="8">
        <f t="shared" si="4"/>
        <v>1</v>
      </c>
      <c r="G157" s="2"/>
    </row>
    <row r="158" spans="1:7" x14ac:dyDescent="0.25">
      <c r="A158" t="s">
        <v>46</v>
      </c>
      <c r="B158">
        <v>2010</v>
      </c>
      <c r="C158" s="3">
        <v>102382.60416666701</v>
      </c>
      <c r="D158" s="2">
        <f t="shared" si="5"/>
        <v>-4.1104825877644663E-2</v>
      </c>
      <c r="E158" s="2"/>
      <c r="F158" s="8">
        <f t="shared" si="4"/>
        <v>1</v>
      </c>
      <c r="G158" s="2"/>
    </row>
    <row r="159" spans="1:7" x14ac:dyDescent="0.25">
      <c r="A159" t="s">
        <v>46</v>
      </c>
      <c r="B159">
        <v>2011</v>
      </c>
      <c r="C159" s="3">
        <v>103872.4875</v>
      </c>
      <c r="D159" s="2">
        <f t="shared" si="5"/>
        <v>1.4552114057458819E-2</v>
      </c>
      <c r="E159" s="2"/>
      <c r="F159" s="8">
        <f t="shared" si="4"/>
        <v>0</v>
      </c>
      <c r="G159" s="2"/>
    </row>
    <row r="160" spans="1:7" x14ac:dyDescent="0.25">
      <c r="A160" t="s">
        <v>46</v>
      </c>
      <c r="B160">
        <v>2012</v>
      </c>
      <c r="C160" s="3">
        <v>111171.883333333</v>
      </c>
      <c r="D160" s="2">
        <f t="shared" si="5"/>
        <v>7.02726584200941E-2</v>
      </c>
      <c r="E160" s="2"/>
      <c r="F160" s="8">
        <f t="shared" si="4"/>
        <v>0</v>
      </c>
      <c r="G160" s="2"/>
    </row>
    <row r="161" spans="1:7" x14ac:dyDescent="0.25">
      <c r="A161" t="s">
        <v>46</v>
      </c>
      <c r="B161">
        <v>2013</v>
      </c>
      <c r="C161" s="3">
        <v>124237.08333333299</v>
      </c>
      <c r="D161" s="2">
        <f t="shared" si="5"/>
        <v>0.11752252105710814</v>
      </c>
      <c r="E161" s="2"/>
      <c r="F161" s="8">
        <f t="shared" si="4"/>
        <v>0</v>
      </c>
      <c r="G161" s="2"/>
    </row>
    <row r="162" spans="1:7" x14ac:dyDescent="0.25">
      <c r="A162" t="s">
        <v>46</v>
      </c>
      <c r="B162">
        <v>2014</v>
      </c>
      <c r="C162" s="3">
        <v>133224.71249999999</v>
      </c>
      <c r="D162" s="2">
        <f t="shared" ref="D162:D213" si="6">(C162-C161)/C161</f>
        <v>7.2342564116326183E-2</v>
      </c>
      <c r="E162" s="2"/>
      <c r="F162" s="8">
        <f t="shared" ref="F162:F213" si="7">IF(D162&lt;0,1,0)</f>
        <v>0</v>
      </c>
      <c r="G162" s="2"/>
    </row>
    <row r="163" spans="1:7" x14ac:dyDescent="0.25">
      <c r="A163" t="s">
        <v>46</v>
      </c>
      <c r="B163">
        <v>2015</v>
      </c>
      <c r="C163" s="3">
        <v>141049.91250000001</v>
      </c>
      <c r="D163" s="2">
        <f t="shared" si="6"/>
        <v>5.8736850342236704E-2</v>
      </c>
      <c r="E163" s="2"/>
      <c r="F163" s="8">
        <f t="shared" si="7"/>
        <v>0</v>
      </c>
      <c r="G163" s="2"/>
    </row>
    <row r="164" spans="1:7" x14ac:dyDescent="0.25">
      <c r="A164" t="s">
        <v>47</v>
      </c>
      <c r="B164">
        <v>2007</v>
      </c>
      <c r="C164" s="3">
        <v>219871.33333333299</v>
      </c>
      <c r="D164" s="2"/>
      <c r="E164" s="2"/>
      <c r="F164" s="8">
        <f t="shared" si="7"/>
        <v>0</v>
      </c>
      <c r="G164" s="2"/>
    </row>
    <row r="165" spans="1:7" x14ac:dyDescent="0.25">
      <c r="A165" t="s">
        <v>47</v>
      </c>
      <c r="B165">
        <v>2008</v>
      </c>
      <c r="C165" s="3">
        <v>207018.75</v>
      </c>
      <c r="D165" s="2">
        <f t="shared" si="6"/>
        <v>-5.845502066359877E-2</v>
      </c>
      <c r="E165" s="7">
        <f>STDEV(D165:D172)</f>
        <v>8.9253666184293493E-2</v>
      </c>
      <c r="F165" s="8">
        <f t="shared" si="7"/>
        <v>1</v>
      </c>
      <c r="G165" s="8">
        <f>SUM(F165:F172)</f>
        <v>5</v>
      </c>
    </row>
    <row r="166" spans="1:7" x14ac:dyDescent="0.25">
      <c r="A166" t="s">
        <v>47</v>
      </c>
      <c r="B166">
        <v>2009</v>
      </c>
      <c r="C166" s="3">
        <v>174810.20833333299</v>
      </c>
      <c r="D166" s="2">
        <f t="shared" si="6"/>
        <v>-0.15558272700741843</v>
      </c>
      <c r="E166" s="2"/>
      <c r="F166" s="8">
        <f t="shared" si="7"/>
        <v>1</v>
      </c>
      <c r="G166" s="2"/>
    </row>
    <row r="167" spans="1:7" x14ac:dyDescent="0.25">
      <c r="A167" t="s">
        <v>47</v>
      </c>
      <c r="B167">
        <v>2010</v>
      </c>
      <c r="C167" s="3">
        <v>165027.67916666699</v>
      </c>
      <c r="D167" s="2">
        <f t="shared" si="6"/>
        <v>-5.5960857549076336E-2</v>
      </c>
      <c r="E167" s="2"/>
      <c r="F167" s="8">
        <f t="shared" si="7"/>
        <v>1</v>
      </c>
      <c r="G167" s="2"/>
    </row>
    <row r="168" spans="1:7" x14ac:dyDescent="0.25">
      <c r="A168" t="s">
        <v>47</v>
      </c>
      <c r="B168">
        <v>2011</v>
      </c>
      <c r="C168" s="3">
        <v>153309.33333333299</v>
      </c>
      <c r="D168" s="2">
        <f t="shared" si="6"/>
        <v>-7.100836594508031E-2</v>
      </c>
      <c r="E168" s="2"/>
      <c r="F168" s="8">
        <f t="shared" si="7"/>
        <v>1</v>
      </c>
      <c r="G168" s="2"/>
    </row>
    <row r="169" spans="1:7" x14ac:dyDescent="0.25">
      <c r="A169" t="s">
        <v>47</v>
      </c>
      <c r="B169">
        <v>2012</v>
      </c>
      <c r="C169" s="3">
        <v>152884.27916666699</v>
      </c>
      <c r="D169" s="2">
        <f t="shared" si="6"/>
        <v>-2.7725263519463926E-3</v>
      </c>
      <c r="E169" s="2"/>
      <c r="F169" s="8">
        <f t="shared" si="7"/>
        <v>1</v>
      </c>
      <c r="G169" s="2"/>
    </row>
    <row r="170" spans="1:7" x14ac:dyDescent="0.25">
      <c r="A170" t="s">
        <v>47</v>
      </c>
      <c r="B170">
        <v>2013</v>
      </c>
      <c r="C170" s="3">
        <v>169223.61249999999</v>
      </c>
      <c r="D170" s="2">
        <f t="shared" si="6"/>
        <v>0.10687386186725352</v>
      </c>
      <c r="E170" s="2"/>
      <c r="F170" s="8">
        <f t="shared" si="7"/>
        <v>0</v>
      </c>
      <c r="G170" s="2"/>
    </row>
    <row r="171" spans="1:7" x14ac:dyDescent="0.25">
      <c r="A171" t="s">
        <v>47</v>
      </c>
      <c r="B171">
        <v>2014</v>
      </c>
      <c r="C171" s="3">
        <v>178695.745833333</v>
      </c>
      <c r="D171" s="2">
        <f t="shared" si="6"/>
        <v>5.5974064100144487E-2</v>
      </c>
      <c r="E171" s="2"/>
      <c r="F171" s="8">
        <f t="shared" si="7"/>
        <v>0</v>
      </c>
      <c r="G171" s="2"/>
    </row>
    <row r="172" spans="1:7" x14ac:dyDescent="0.25">
      <c r="A172" t="s">
        <v>47</v>
      </c>
      <c r="B172">
        <v>2015</v>
      </c>
      <c r="C172" s="3">
        <v>193257.08333333299</v>
      </c>
      <c r="D172" s="2">
        <f t="shared" si="6"/>
        <v>8.1486760818476042E-2</v>
      </c>
      <c r="E172" s="2"/>
      <c r="F172" s="8">
        <f t="shared" si="7"/>
        <v>0</v>
      </c>
      <c r="G172" s="2"/>
    </row>
    <row r="173" spans="1:7" x14ac:dyDescent="0.25">
      <c r="A173" t="s">
        <v>50</v>
      </c>
      <c r="B173">
        <v>2007</v>
      </c>
      <c r="C173" s="3">
        <v>141015.83333333299</v>
      </c>
      <c r="D173" s="2"/>
      <c r="E173" s="2"/>
      <c r="F173" s="8">
        <f t="shared" si="7"/>
        <v>0</v>
      </c>
      <c r="G173" s="2"/>
    </row>
    <row r="174" spans="1:7" x14ac:dyDescent="0.25">
      <c r="A174" t="s">
        <v>50</v>
      </c>
      <c r="B174">
        <v>2008</v>
      </c>
      <c r="C174" s="3">
        <v>139012.41666666701</v>
      </c>
      <c r="D174" s="2">
        <f t="shared" si="6"/>
        <v>-1.4207033489142418E-2</v>
      </c>
      <c r="E174" s="7">
        <f>STDEV(D174:D181)</f>
        <v>4.5900655089401173E-2</v>
      </c>
      <c r="F174" s="8">
        <f t="shared" si="7"/>
        <v>1</v>
      </c>
      <c r="G174" s="8">
        <f>SUM(F174:F181)</f>
        <v>4</v>
      </c>
    </row>
    <row r="175" spans="1:7" x14ac:dyDescent="0.25">
      <c r="A175" t="s">
        <v>50</v>
      </c>
      <c r="B175">
        <v>2009</v>
      </c>
      <c r="C175" s="3">
        <v>129888.79166666701</v>
      </c>
      <c r="D175" s="2">
        <f t="shared" si="6"/>
        <v>-6.5631727141879856E-2</v>
      </c>
      <c r="E175" s="2"/>
      <c r="F175" s="8">
        <f t="shared" si="7"/>
        <v>1</v>
      </c>
      <c r="G175" s="2"/>
    </row>
    <row r="176" spans="1:7" x14ac:dyDescent="0.25">
      <c r="A176" t="s">
        <v>50</v>
      </c>
      <c r="B176">
        <v>2010</v>
      </c>
      <c r="C176" s="3">
        <v>124965.175</v>
      </c>
      <c r="D176" s="2">
        <f t="shared" si="6"/>
        <v>-3.7906401341406402E-2</v>
      </c>
      <c r="E176" s="2"/>
      <c r="F176" s="8">
        <f t="shared" si="7"/>
        <v>1</v>
      </c>
      <c r="G176" s="2"/>
    </row>
    <row r="177" spans="1:7" x14ac:dyDescent="0.25">
      <c r="A177" t="s">
        <v>50</v>
      </c>
      <c r="B177">
        <v>2011</v>
      </c>
      <c r="C177" s="3">
        <v>122980.808333333</v>
      </c>
      <c r="D177" s="2">
        <f t="shared" si="6"/>
        <v>-1.5879357322286014E-2</v>
      </c>
      <c r="E177" s="2"/>
      <c r="F177" s="8">
        <f t="shared" si="7"/>
        <v>1</v>
      </c>
      <c r="G177" s="2"/>
    </row>
    <row r="178" spans="1:7" x14ac:dyDescent="0.25">
      <c r="A178" t="s">
        <v>50</v>
      </c>
      <c r="B178">
        <v>2012</v>
      </c>
      <c r="C178" s="3">
        <v>125006.55</v>
      </c>
      <c r="D178" s="2">
        <f t="shared" si="6"/>
        <v>1.6472014569755774E-2</v>
      </c>
      <c r="E178" s="2"/>
      <c r="F178" s="8">
        <f t="shared" si="7"/>
        <v>0</v>
      </c>
      <c r="G178" s="2"/>
    </row>
    <row r="179" spans="1:7" x14ac:dyDescent="0.25">
      <c r="A179" t="s">
        <v>50</v>
      </c>
      <c r="B179">
        <v>2013</v>
      </c>
      <c r="C179" s="3">
        <v>130570.83333333299</v>
      </c>
      <c r="D179" s="2">
        <f t="shared" si="6"/>
        <v>4.4511934241309684E-2</v>
      </c>
      <c r="E179" s="2"/>
      <c r="F179" s="8">
        <f t="shared" si="7"/>
        <v>0</v>
      </c>
      <c r="G179" s="2"/>
    </row>
    <row r="180" spans="1:7" x14ac:dyDescent="0.25">
      <c r="A180" t="s">
        <v>50</v>
      </c>
      <c r="B180">
        <v>2014</v>
      </c>
      <c r="C180" s="3">
        <v>133286.25</v>
      </c>
      <c r="D180" s="2">
        <f t="shared" si="6"/>
        <v>2.079650253693982E-2</v>
      </c>
      <c r="E180" s="2"/>
      <c r="F180" s="8">
        <f t="shared" si="7"/>
        <v>0</v>
      </c>
      <c r="G180" s="2"/>
    </row>
    <row r="181" spans="1:7" x14ac:dyDescent="0.25">
      <c r="A181" t="s">
        <v>50</v>
      </c>
      <c r="B181">
        <v>2015</v>
      </c>
      <c r="C181" s="3">
        <v>143562.5</v>
      </c>
      <c r="D181" s="2">
        <f t="shared" si="6"/>
        <v>7.7099100619906408E-2</v>
      </c>
      <c r="E181" s="2"/>
      <c r="F181" s="8">
        <f t="shared" si="7"/>
        <v>0</v>
      </c>
      <c r="G181" s="2"/>
    </row>
    <row r="182" spans="1:7" x14ac:dyDescent="0.25">
      <c r="A182" t="s">
        <v>51</v>
      </c>
      <c r="B182">
        <v>2007</v>
      </c>
      <c r="C182" s="3">
        <v>287889.58333333302</v>
      </c>
      <c r="D182" s="2"/>
      <c r="E182" s="2"/>
      <c r="F182" s="8">
        <f t="shared" si="7"/>
        <v>0</v>
      </c>
      <c r="G182" s="2"/>
    </row>
    <row r="183" spans="1:7" x14ac:dyDescent="0.25">
      <c r="A183" t="s">
        <v>51</v>
      </c>
      <c r="B183">
        <v>2008</v>
      </c>
      <c r="C183" s="3">
        <v>248192.5</v>
      </c>
      <c r="D183" s="2">
        <f t="shared" si="6"/>
        <v>-0.13788996070541998</v>
      </c>
      <c r="E183" s="7">
        <f>STDEV(D183:D190)</f>
        <v>0.18828292223478596</v>
      </c>
      <c r="F183" s="8">
        <f t="shared" si="7"/>
        <v>1</v>
      </c>
      <c r="G183" s="8">
        <f>SUM(F183:F190)</f>
        <v>5</v>
      </c>
    </row>
    <row r="184" spans="1:7" x14ac:dyDescent="0.25">
      <c r="A184" t="s">
        <v>51</v>
      </c>
      <c r="B184">
        <v>2009</v>
      </c>
      <c r="C184" s="3">
        <v>186971.86249999999</v>
      </c>
      <c r="D184" s="2">
        <f t="shared" si="6"/>
        <v>-0.24666594478076498</v>
      </c>
      <c r="E184" s="2"/>
      <c r="F184" s="8">
        <f t="shared" si="7"/>
        <v>1</v>
      </c>
      <c r="G184" s="2"/>
    </row>
    <row r="185" spans="1:7" x14ac:dyDescent="0.25">
      <c r="A185" t="s">
        <v>51</v>
      </c>
      <c r="B185">
        <v>2010</v>
      </c>
      <c r="C185" s="3">
        <v>145887.96666666699</v>
      </c>
      <c r="D185" s="2">
        <f t="shared" si="6"/>
        <v>-0.21973304049069414</v>
      </c>
      <c r="E185" s="2"/>
      <c r="F185" s="8">
        <f t="shared" si="7"/>
        <v>1</v>
      </c>
      <c r="G185" s="2"/>
    </row>
    <row r="186" spans="1:7" x14ac:dyDescent="0.25">
      <c r="A186" t="s">
        <v>51</v>
      </c>
      <c r="B186">
        <v>2011</v>
      </c>
      <c r="C186" s="3">
        <v>137342.32083333301</v>
      </c>
      <c r="D186" s="2">
        <f t="shared" si="6"/>
        <v>-5.8576769754146718E-2</v>
      </c>
      <c r="E186" s="2"/>
      <c r="F186" s="8">
        <f t="shared" si="7"/>
        <v>1</v>
      </c>
      <c r="G186" s="2"/>
    </row>
    <row r="187" spans="1:7" x14ac:dyDescent="0.25">
      <c r="A187" t="s">
        <v>51</v>
      </c>
      <c r="B187">
        <v>2012</v>
      </c>
      <c r="C187" s="3">
        <v>136395.41250000001</v>
      </c>
      <c r="D187" s="2">
        <f t="shared" si="6"/>
        <v>-6.894512394923725E-3</v>
      </c>
      <c r="E187" s="2"/>
      <c r="F187" s="8">
        <f t="shared" si="7"/>
        <v>1</v>
      </c>
      <c r="G187" s="2"/>
    </row>
    <row r="188" spans="1:7" x14ac:dyDescent="0.25">
      <c r="A188" t="s">
        <v>51</v>
      </c>
      <c r="B188">
        <v>2013</v>
      </c>
      <c r="C188" s="3">
        <v>178357.84583333301</v>
      </c>
      <c r="D188" s="2">
        <f t="shared" si="6"/>
        <v>0.30765282031265528</v>
      </c>
      <c r="E188" s="2"/>
      <c r="F188" s="8">
        <f t="shared" si="7"/>
        <v>0</v>
      </c>
      <c r="G188" s="2"/>
    </row>
    <row r="189" spans="1:7" x14ac:dyDescent="0.25">
      <c r="A189" t="s">
        <v>51</v>
      </c>
      <c r="B189">
        <v>2014</v>
      </c>
      <c r="C189" s="3">
        <v>198967.08333333299</v>
      </c>
      <c r="D189" s="2">
        <f t="shared" si="6"/>
        <v>0.11554993504047111</v>
      </c>
      <c r="E189" s="2"/>
      <c r="F189" s="8">
        <f t="shared" si="7"/>
        <v>0</v>
      </c>
      <c r="G189" s="2"/>
    </row>
    <row r="190" spans="1:7" x14ac:dyDescent="0.25">
      <c r="A190" t="s">
        <v>51</v>
      </c>
      <c r="B190">
        <v>2015</v>
      </c>
      <c r="C190" s="3">
        <v>219868.25</v>
      </c>
      <c r="D190" s="2">
        <f t="shared" si="6"/>
        <v>0.10504836436512928</v>
      </c>
      <c r="E190" s="2"/>
      <c r="F190" s="8">
        <f t="shared" si="7"/>
        <v>0</v>
      </c>
      <c r="G190" s="2"/>
    </row>
    <row r="191" spans="1:7" x14ac:dyDescent="0.25">
      <c r="A191" t="s">
        <v>52</v>
      </c>
      <c r="B191">
        <v>2007</v>
      </c>
      <c r="C191" s="3">
        <v>231909.16666666701</v>
      </c>
      <c r="D191" s="2"/>
      <c r="E191" s="2"/>
      <c r="F191" s="8">
        <f t="shared" si="7"/>
        <v>0</v>
      </c>
      <c r="G191" s="2"/>
    </row>
    <row r="192" spans="1:7" x14ac:dyDescent="0.25">
      <c r="A192" t="s">
        <v>52</v>
      </c>
      <c r="B192">
        <v>2008</v>
      </c>
      <c r="C192" s="3">
        <v>222515.83333333299</v>
      </c>
      <c r="D192" s="2">
        <f t="shared" si="6"/>
        <v>-4.0504364136823678E-2</v>
      </c>
      <c r="E192" s="7">
        <f>STDEV(D192:D199)</f>
        <v>5.573226792062444E-2</v>
      </c>
      <c r="F192" s="8">
        <f t="shared" si="7"/>
        <v>1</v>
      </c>
      <c r="G192" s="8">
        <f>SUM(F192:F199)</f>
        <v>4</v>
      </c>
    </row>
    <row r="193" spans="1:7" x14ac:dyDescent="0.25">
      <c r="A193" t="s">
        <v>52</v>
      </c>
      <c r="B193">
        <v>2009</v>
      </c>
      <c r="C193" s="3">
        <v>198202.08333333299</v>
      </c>
      <c r="D193" s="2">
        <f t="shared" si="6"/>
        <v>-0.10926750530861117</v>
      </c>
      <c r="E193" s="2"/>
      <c r="F193" s="8">
        <f t="shared" si="7"/>
        <v>1</v>
      </c>
      <c r="G193" s="2"/>
    </row>
    <row r="194" spans="1:7" x14ac:dyDescent="0.25">
      <c r="A194" t="s">
        <v>52</v>
      </c>
      <c r="B194">
        <v>2010</v>
      </c>
      <c r="C194" s="3">
        <v>194068.75</v>
      </c>
      <c r="D194" s="2">
        <f t="shared" si="6"/>
        <v>-2.0854136666069358E-2</v>
      </c>
      <c r="E194" s="2"/>
      <c r="F194" s="8">
        <f t="shared" si="7"/>
        <v>1</v>
      </c>
      <c r="G194" s="2"/>
    </row>
    <row r="195" spans="1:7" x14ac:dyDescent="0.25">
      <c r="A195" t="s">
        <v>52</v>
      </c>
      <c r="B195">
        <v>2011</v>
      </c>
      <c r="C195" s="3">
        <v>196172.08333333299</v>
      </c>
      <c r="D195" s="2">
        <f t="shared" si="6"/>
        <v>1.0838083582920969E-2</v>
      </c>
      <c r="E195" s="2"/>
      <c r="F195" s="8">
        <f t="shared" si="7"/>
        <v>0</v>
      </c>
      <c r="G195" s="2"/>
    </row>
    <row r="196" spans="1:7" x14ac:dyDescent="0.25">
      <c r="A196" t="s">
        <v>52</v>
      </c>
      <c r="B196">
        <v>2012</v>
      </c>
      <c r="C196" s="3">
        <v>195622.08333333299</v>
      </c>
      <c r="D196" s="2">
        <f t="shared" si="6"/>
        <v>-2.8036609014619441E-3</v>
      </c>
      <c r="E196" s="2"/>
      <c r="F196" s="8">
        <f t="shared" si="7"/>
        <v>1</v>
      </c>
      <c r="G196" s="2"/>
    </row>
    <row r="197" spans="1:7" x14ac:dyDescent="0.25">
      <c r="A197" t="s">
        <v>52</v>
      </c>
      <c r="B197">
        <v>2013</v>
      </c>
      <c r="C197" s="3">
        <v>207484.42083333299</v>
      </c>
      <c r="D197" s="2">
        <f t="shared" si="6"/>
        <v>6.063905106146425E-2</v>
      </c>
      <c r="E197" s="2"/>
      <c r="F197" s="8">
        <f t="shared" si="7"/>
        <v>0</v>
      </c>
      <c r="G197" s="2"/>
    </row>
    <row r="198" spans="1:7" x14ac:dyDescent="0.25">
      <c r="A198" t="s">
        <v>52</v>
      </c>
      <c r="B198">
        <v>2014</v>
      </c>
      <c r="C198" s="3">
        <v>216819.41666666701</v>
      </c>
      <c r="D198" s="2">
        <f t="shared" si="6"/>
        <v>4.4991309688897488E-2</v>
      </c>
      <c r="E198" s="2"/>
      <c r="F198" s="8">
        <f t="shared" si="7"/>
        <v>0</v>
      </c>
      <c r="G198" s="2"/>
    </row>
    <row r="199" spans="1:7" x14ac:dyDescent="0.25">
      <c r="A199" t="s">
        <v>52</v>
      </c>
      <c r="B199">
        <v>2015</v>
      </c>
      <c r="C199" s="3">
        <v>226326.33333333299</v>
      </c>
      <c r="D199" s="2">
        <f t="shared" si="6"/>
        <v>4.3847164671979973E-2</v>
      </c>
      <c r="E199" s="2"/>
      <c r="F199" s="8">
        <f t="shared" si="7"/>
        <v>0</v>
      </c>
      <c r="G199" s="2"/>
    </row>
    <row r="200" spans="1:7" x14ac:dyDescent="0.25">
      <c r="A200" t="s">
        <v>53</v>
      </c>
      <c r="B200">
        <v>2007</v>
      </c>
      <c r="C200" s="3">
        <v>332466.08333333302</v>
      </c>
      <c r="D200" s="2"/>
      <c r="E200" s="2"/>
      <c r="F200" s="8">
        <f t="shared" si="7"/>
        <v>0</v>
      </c>
      <c r="G200" s="2"/>
    </row>
    <row r="201" spans="1:7" x14ac:dyDescent="0.25">
      <c r="A201" t="s">
        <v>53</v>
      </c>
      <c r="B201">
        <v>2008</v>
      </c>
      <c r="C201" s="3">
        <v>318620.83333333302</v>
      </c>
      <c r="D201" s="2">
        <f t="shared" si="6"/>
        <v>-4.1644097530750671E-2</v>
      </c>
      <c r="E201" s="7">
        <f>STDEV(D201:D208)</f>
        <v>3.9573440789845926E-2</v>
      </c>
      <c r="F201" s="8">
        <f t="shared" si="7"/>
        <v>1</v>
      </c>
      <c r="G201" s="8">
        <f>SUM(F201:F208)</f>
        <v>5</v>
      </c>
    </row>
    <row r="202" spans="1:7" x14ac:dyDescent="0.25">
      <c r="A202" t="s">
        <v>53</v>
      </c>
      <c r="B202">
        <v>2009</v>
      </c>
      <c r="C202" s="3">
        <v>295895.20833333302</v>
      </c>
      <c r="D202" s="2">
        <f t="shared" si="6"/>
        <v>-7.1324981364997653E-2</v>
      </c>
      <c r="E202" s="2"/>
      <c r="F202" s="8">
        <f t="shared" si="7"/>
        <v>1</v>
      </c>
      <c r="G202" s="2"/>
    </row>
    <row r="203" spans="1:7" x14ac:dyDescent="0.25">
      <c r="A203" t="s">
        <v>53</v>
      </c>
      <c r="B203">
        <v>2010</v>
      </c>
      <c r="C203" s="3">
        <v>293442.47916666698</v>
      </c>
      <c r="D203" s="2">
        <f t="shared" si="6"/>
        <v>-8.2891817697263552E-3</v>
      </c>
      <c r="E203" s="2"/>
      <c r="F203" s="8">
        <f t="shared" si="7"/>
        <v>1</v>
      </c>
      <c r="G203" s="2"/>
    </row>
    <row r="204" spans="1:7" x14ac:dyDescent="0.25">
      <c r="A204" t="s">
        <v>53</v>
      </c>
      <c r="B204">
        <v>2011</v>
      </c>
      <c r="C204" s="3">
        <v>282385.41666666698</v>
      </c>
      <c r="D204" s="2">
        <f t="shared" si="6"/>
        <v>-3.7680510781535156E-2</v>
      </c>
      <c r="E204" s="2"/>
      <c r="F204" s="8">
        <f t="shared" si="7"/>
        <v>1</v>
      </c>
      <c r="G204" s="2"/>
    </row>
    <row r="205" spans="1:7" x14ac:dyDescent="0.25">
      <c r="A205" t="s">
        <v>53</v>
      </c>
      <c r="B205">
        <v>2012</v>
      </c>
      <c r="C205" s="3">
        <v>269960.60833333299</v>
      </c>
      <c r="D205" s="2">
        <f t="shared" si="6"/>
        <v>-4.3999468811098223E-2</v>
      </c>
      <c r="E205" s="2"/>
      <c r="F205" s="8">
        <f t="shared" si="7"/>
        <v>1</v>
      </c>
      <c r="G205" s="2"/>
    </row>
    <row r="206" spans="1:7" x14ac:dyDescent="0.25">
      <c r="A206" t="s">
        <v>53</v>
      </c>
      <c r="B206">
        <v>2013</v>
      </c>
      <c r="C206" s="3">
        <v>280059.058333333</v>
      </c>
      <c r="D206" s="2">
        <f t="shared" si="6"/>
        <v>3.7407124181358276E-2</v>
      </c>
      <c r="E206" s="2"/>
      <c r="F206" s="8">
        <f t="shared" si="7"/>
        <v>0</v>
      </c>
      <c r="G206" s="2"/>
    </row>
    <row r="207" spans="1:7" x14ac:dyDescent="0.25">
      <c r="A207" t="s">
        <v>53</v>
      </c>
      <c r="B207">
        <v>2014</v>
      </c>
      <c r="C207" s="3">
        <v>285670.83333333302</v>
      </c>
      <c r="D207" s="2">
        <f t="shared" si="6"/>
        <v>2.0037827140448192E-2</v>
      </c>
      <c r="E207" s="2"/>
      <c r="F207" s="8">
        <f t="shared" si="7"/>
        <v>0</v>
      </c>
      <c r="G207" s="2"/>
    </row>
    <row r="208" spans="1:7" x14ac:dyDescent="0.25">
      <c r="A208" t="s">
        <v>53</v>
      </c>
      <c r="B208">
        <v>2015</v>
      </c>
      <c r="C208" s="3">
        <v>293183.33333333302</v>
      </c>
      <c r="D208" s="2">
        <f t="shared" si="6"/>
        <v>2.6297749449395457E-2</v>
      </c>
      <c r="E208" s="2"/>
      <c r="F208" s="8">
        <f t="shared" si="7"/>
        <v>0</v>
      </c>
      <c r="G208" s="2"/>
    </row>
    <row r="209" spans="1:7" x14ac:dyDescent="0.25">
      <c r="A209" t="s">
        <v>54</v>
      </c>
      <c r="B209">
        <v>2007</v>
      </c>
      <c r="C209" s="3">
        <v>168816.66666666701</v>
      </c>
      <c r="D209" s="2"/>
      <c r="E209" s="2"/>
      <c r="F209" s="8">
        <f t="shared" si="7"/>
        <v>0</v>
      </c>
      <c r="G209" s="2"/>
    </row>
    <row r="210" spans="1:7" x14ac:dyDescent="0.25">
      <c r="A210" t="s">
        <v>54</v>
      </c>
      <c r="B210">
        <v>2008</v>
      </c>
      <c r="C210" s="3">
        <v>170150</v>
      </c>
      <c r="D210" s="2">
        <f t="shared" si="6"/>
        <v>7.8981143252028294E-3</v>
      </c>
      <c r="E210" s="7">
        <f>STDEV(D210:D217)</f>
        <v>2.8282626431143817E-2</v>
      </c>
      <c r="F210" s="8">
        <f t="shared" si="7"/>
        <v>0</v>
      </c>
      <c r="G210" s="8">
        <f>SUM(F210:F217)</f>
        <v>3</v>
      </c>
    </row>
    <row r="211" spans="1:7" x14ac:dyDescent="0.25">
      <c r="A211" t="s">
        <v>54</v>
      </c>
      <c r="B211">
        <v>2009</v>
      </c>
      <c r="C211" s="3">
        <v>163075.75</v>
      </c>
      <c r="D211" s="2">
        <f t="shared" si="6"/>
        <v>-4.1576550102850426E-2</v>
      </c>
      <c r="E211" s="2"/>
      <c r="F211" s="8">
        <f t="shared" si="7"/>
        <v>1</v>
      </c>
      <c r="G211" s="2"/>
    </row>
    <row r="212" spans="1:7" x14ac:dyDescent="0.25">
      <c r="A212" t="s">
        <v>54</v>
      </c>
      <c r="B212">
        <v>2010</v>
      </c>
      <c r="C212" s="3">
        <v>164016.66666666701</v>
      </c>
      <c r="D212" s="2">
        <f t="shared" si="6"/>
        <v>5.7698135171354798E-3</v>
      </c>
      <c r="E212" s="2"/>
      <c r="F212" s="8">
        <f t="shared" si="7"/>
        <v>0</v>
      </c>
      <c r="G212" s="2"/>
    </row>
    <row r="213" spans="1:7" x14ac:dyDescent="0.25">
      <c r="A213" t="s">
        <v>54</v>
      </c>
      <c r="B213">
        <v>2011</v>
      </c>
      <c r="C213" s="3">
        <v>163097.91666666701</v>
      </c>
      <c r="D213" s="2">
        <f t="shared" si="6"/>
        <v>-5.6015648816177101E-3</v>
      </c>
      <c r="E213" s="2"/>
      <c r="F213" s="8">
        <f t="shared" si="7"/>
        <v>1</v>
      </c>
      <c r="G213" s="2"/>
    </row>
    <row r="214" spans="1:7" x14ac:dyDescent="0.25">
      <c r="A214" t="s">
        <v>54</v>
      </c>
      <c r="B214">
        <v>2012</v>
      </c>
      <c r="C214" s="3">
        <v>160583.33333333299</v>
      </c>
      <c r="D214" s="2">
        <f t="shared" ref="D214:D265" si="8">(C214-C213)/C213</f>
        <v>-1.5417630002431099E-2</v>
      </c>
      <c r="E214" s="2"/>
      <c r="F214" s="8">
        <f t="shared" ref="F214:F265" si="9">IF(D214&lt;0,1,0)</f>
        <v>1</v>
      </c>
      <c r="G214" s="2"/>
    </row>
    <row r="215" spans="1:7" x14ac:dyDescent="0.25">
      <c r="A215" t="s">
        <v>54</v>
      </c>
      <c r="B215">
        <v>2013</v>
      </c>
      <c r="C215" s="3">
        <v>168858.33333333299</v>
      </c>
      <c r="D215" s="2">
        <f t="shared" si="8"/>
        <v>5.1530877010897876E-2</v>
      </c>
      <c r="E215" s="2"/>
      <c r="F215" s="8">
        <f t="shared" si="9"/>
        <v>0</v>
      </c>
      <c r="G215" s="2"/>
    </row>
    <row r="216" spans="1:7" x14ac:dyDescent="0.25">
      <c r="A216" t="s">
        <v>54</v>
      </c>
      <c r="B216">
        <v>2014</v>
      </c>
      <c r="C216" s="3">
        <v>173166.66666666701</v>
      </c>
      <c r="D216" s="2">
        <f t="shared" si="8"/>
        <v>2.5514484528454943E-2</v>
      </c>
      <c r="E216" s="2"/>
      <c r="F216" s="8">
        <f t="shared" si="9"/>
        <v>0</v>
      </c>
      <c r="G216" s="2"/>
    </row>
    <row r="217" spans="1:7" x14ac:dyDescent="0.25">
      <c r="A217" t="s">
        <v>54</v>
      </c>
      <c r="B217">
        <v>2015</v>
      </c>
      <c r="C217" s="3">
        <v>177134.83333333299</v>
      </c>
      <c r="D217" s="2">
        <f t="shared" si="8"/>
        <v>2.2915303176126927E-2</v>
      </c>
      <c r="E217" s="2"/>
      <c r="F217" s="8">
        <f t="shared" si="9"/>
        <v>0</v>
      </c>
      <c r="G217" s="2"/>
    </row>
    <row r="218" spans="1:7" x14ac:dyDescent="0.25">
      <c r="A218" t="s">
        <v>55</v>
      </c>
      <c r="B218">
        <v>2007</v>
      </c>
      <c r="C218" s="3">
        <v>137133.33333333299</v>
      </c>
      <c r="D218" s="2"/>
      <c r="E218" s="2"/>
      <c r="F218" s="8">
        <f t="shared" si="9"/>
        <v>0</v>
      </c>
      <c r="G218" s="2"/>
    </row>
    <row r="219" spans="1:7" x14ac:dyDescent="0.25">
      <c r="A219" t="s">
        <v>55</v>
      </c>
      <c r="B219">
        <v>2008</v>
      </c>
      <c r="C219" s="3">
        <v>133775.6875</v>
      </c>
      <c r="D219" s="2">
        <f t="shared" si="8"/>
        <v>-2.4484534516283438E-2</v>
      </c>
      <c r="E219" s="7">
        <f>STDEV(D219:D226)</f>
        <v>5.5010371546498925E-2</v>
      </c>
      <c r="F219" s="8">
        <f t="shared" si="9"/>
        <v>1</v>
      </c>
      <c r="G219" s="8">
        <f>SUM(F219:F226)</f>
        <v>5</v>
      </c>
    </row>
    <row r="220" spans="1:7" x14ac:dyDescent="0.25">
      <c r="A220" t="s">
        <v>55</v>
      </c>
      <c r="B220">
        <v>2009</v>
      </c>
      <c r="C220" s="3">
        <v>121827.64583333299</v>
      </c>
      <c r="D220" s="2">
        <f t="shared" si="8"/>
        <v>-8.9313999351840423E-2</v>
      </c>
      <c r="E220" s="2"/>
      <c r="F220" s="8">
        <f t="shared" si="9"/>
        <v>1</v>
      </c>
      <c r="G220" s="2"/>
    </row>
    <row r="221" spans="1:7" x14ac:dyDescent="0.25">
      <c r="A221" t="s">
        <v>55</v>
      </c>
      <c r="B221">
        <v>2010</v>
      </c>
      <c r="C221" s="3">
        <v>118022.5</v>
      </c>
      <c r="D221" s="2">
        <f t="shared" si="8"/>
        <v>-3.12338452188319E-2</v>
      </c>
      <c r="E221" s="2"/>
      <c r="F221" s="8">
        <f t="shared" si="9"/>
        <v>1</v>
      </c>
      <c r="G221" s="2"/>
    </row>
    <row r="222" spans="1:7" x14ac:dyDescent="0.25">
      <c r="A222" t="s">
        <v>55</v>
      </c>
      <c r="B222">
        <v>2011</v>
      </c>
      <c r="C222" s="3">
        <v>116009.679166667</v>
      </c>
      <c r="D222" s="2">
        <f t="shared" si="8"/>
        <v>-1.7054551745074004E-2</v>
      </c>
      <c r="E222" s="2"/>
      <c r="F222" s="8">
        <f t="shared" si="9"/>
        <v>1</v>
      </c>
      <c r="G222" s="2"/>
    </row>
    <row r="223" spans="1:7" x14ac:dyDescent="0.25">
      <c r="A223" t="s">
        <v>55</v>
      </c>
      <c r="B223">
        <v>2012</v>
      </c>
      <c r="C223" s="3">
        <v>111959.58333333299</v>
      </c>
      <c r="D223" s="2">
        <f t="shared" si="8"/>
        <v>-3.491170618199349E-2</v>
      </c>
      <c r="E223" s="2"/>
      <c r="F223" s="8">
        <f t="shared" si="9"/>
        <v>1</v>
      </c>
      <c r="G223" s="2"/>
    </row>
    <row r="224" spans="1:7" x14ac:dyDescent="0.25">
      <c r="A224" t="s">
        <v>55</v>
      </c>
      <c r="B224">
        <v>2013</v>
      </c>
      <c r="C224" s="3">
        <v>120387.46249999999</v>
      </c>
      <c r="D224" s="2">
        <f t="shared" si="8"/>
        <v>7.5276085492163705E-2</v>
      </c>
      <c r="E224" s="2"/>
      <c r="F224" s="8">
        <f t="shared" si="9"/>
        <v>0</v>
      </c>
      <c r="G224" s="2"/>
    </row>
    <row r="225" spans="1:7" x14ac:dyDescent="0.25">
      <c r="A225" t="s">
        <v>55</v>
      </c>
      <c r="B225">
        <v>2014</v>
      </c>
      <c r="C225" s="3">
        <v>126860.20833333299</v>
      </c>
      <c r="D225" s="2">
        <f t="shared" si="8"/>
        <v>5.3765946211658047E-2</v>
      </c>
      <c r="E225" s="2"/>
      <c r="F225" s="8">
        <f t="shared" si="9"/>
        <v>0</v>
      </c>
      <c r="G225" s="2"/>
    </row>
    <row r="226" spans="1:7" x14ac:dyDescent="0.25">
      <c r="A226" t="s">
        <v>55</v>
      </c>
      <c r="B226">
        <v>2015</v>
      </c>
      <c r="C226" s="3">
        <v>132023.95833333299</v>
      </c>
      <c r="D226" s="2">
        <f t="shared" si="8"/>
        <v>4.0704252876772276E-2</v>
      </c>
      <c r="E226" s="2"/>
      <c r="F226" s="8">
        <f t="shared" si="9"/>
        <v>0</v>
      </c>
      <c r="G226" s="2"/>
    </row>
    <row r="227" spans="1:7" x14ac:dyDescent="0.25">
      <c r="A227" t="s">
        <v>56</v>
      </c>
      <c r="B227">
        <v>2007</v>
      </c>
      <c r="C227" s="3">
        <v>116339.58333333299</v>
      </c>
      <c r="D227" s="2"/>
      <c r="E227" s="2"/>
      <c r="F227" s="8">
        <f t="shared" si="9"/>
        <v>0</v>
      </c>
      <c r="G227" s="2"/>
    </row>
    <row r="228" spans="1:7" x14ac:dyDescent="0.25">
      <c r="A228" t="s">
        <v>56</v>
      </c>
      <c r="B228">
        <v>2008</v>
      </c>
      <c r="C228" s="3">
        <v>119914.66666666701</v>
      </c>
      <c r="D228" s="2">
        <f t="shared" si="8"/>
        <v>3.0729724405929679E-2</v>
      </c>
      <c r="E228" s="7">
        <f>STDEV(D228:D235)</f>
        <v>3.7643502981484035E-2</v>
      </c>
      <c r="F228" s="8">
        <f t="shared" si="9"/>
        <v>0</v>
      </c>
      <c r="G228" s="8">
        <f>SUM(F228:F235)</f>
        <v>2</v>
      </c>
    </row>
    <row r="229" spans="1:7" x14ac:dyDescent="0.25">
      <c r="A229" t="s">
        <v>56</v>
      </c>
      <c r="B229">
        <v>2009</v>
      </c>
      <c r="C229" s="3">
        <v>115120.83333333299</v>
      </c>
      <c r="D229" s="2">
        <f t="shared" si="8"/>
        <v>-3.997703922790094E-2</v>
      </c>
      <c r="E229" s="2"/>
      <c r="F229" s="8">
        <f t="shared" si="9"/>
        <v>1</v>
      </c>
      <c r="G229" s="2"/>
    </row>
    <row r="230" spans="1:7" x14ac:dyDescent="0.25">
      <c r="A230" t="s">
        <v>56</v>
      </c>
      <c r="B230">
        <v>2010</v>
      </c>
      <c r="C230" s="3">
        <v>117162.5</v>
      </c>
      <c r="D230" s="2">
        <f t="shared" si="8"/>
        <v>1.7734988598938902E-2</v>
      </c>
      <c r="E230" s="2"/>
      <c r="F230" s="8">
        <f t="shared" si="9"/>
        <v>0</v>
      </c>
      <c r="G230" s="2"/>
    </row>
    <row r="231" spans="1:7" x14ac:dyDescent="0.25">
      <c r="A231" t="s">
        <v>56</v>
      </c>
      <c r="B231">
        <v>2011</v>
      </c>
      <c r="C231" s="3">
        <v>121538.70833333299</v>
      </c>
      <c r="D231" s="2">
        <f t="shared" si="8"/>
        <v>3.7351612788503095E-2</v>
      </c>
      <c r="E231" s="2"/>
      <c r="F231" s="8">
        <f t="shared" si="9"/>
        <v>0</v>
      </c>
      <c r="G231" s="2"/>
    </row>
    <row r="232" spans="1:7" x14ac:dyDescent="0.25">
      <c r="A232" t="s">
        <v>56</v>
      </c>
      <c r="B232">
        <v>2012</v>
      </c>
      <c r="C232" s="3">
        <v>117504.16666666701</v>
      </c>
      <c r="D232" s="2">
        <f t="shared" si="8"/>
        <v>-3.3195528585023483E-2</v>
      </c>
      <c r="E232" s="2"/>
      <c r="F232" s="8">
        <f t="shared" si="9"/>
        <v>1</v>
      </c>
      <c r="G232" s="2"/>
    </row>
    <row r="233" spans="1:7" x14ac:dyDescent="0.25">
      <c r="A233" t="s">
        <v>56</v>
      </c>
      <c r="B233">
        <v>2013</v>
      </c>
      <c r="C233" s="3">
        <v>121195.95833333299</v>
      </c>
      <c r="D233" s="2">
        <f t="shared" si="8"/>
        <v>3.1418389418809069E-2</v>
      </c>
      <c r="E233" s="2"/>
      <c r="F233" s="8">
        <f t="shared" si="9"/>
        <v>0</v>
      </c>
      <c r="G233" s="2"/>
    </row>
    <row r="234" spans="1:7" x14ac:dyDescent="0.25">
      <c r="A234" t="s">
        <v>56</v>
      </c>
      <c r="B234">
        <v>2014</v>
      </c>
      <c r="C234" s="3">
        <v>129075.83333333299</v>
      </c>
      <c r="D234" s="2">
        <f t="shared" si="8"/>
        <v>6.501763844572668E-2</v>
      </c>
      <c r="E234" s="2"/>
      <c r="F234" s="8">
        <f t="shared" si="9"/>
        <v>0</v>
      </c>
      <c r="G234" s="2"/>
    </row>
    <row r="235" spans="1:7" x14ac:dyDescent="0.25">
      <c r="A235" t="s">
        <v>56</v>
      </c>
      <c r="B235">
        <v>2015</v>
      </c>
      <c r="C235" s="3">
        <v>135559.58333333299</v>
      </c>
      <c r="D235" s="2">
        <f t="shared" si="8"/>
        <v>5.0232098701667754E-2</v>
      </c>
      <c r="E235" s="2"/>
      <c r="F235" s="8">
        <f t="shared" si="9"/>
        <v>0</v>
      </c>
      <c r="G235" s="2"/>
    </row>
    <row r="236" spans="1:7" x14ac:dyDescent="0.25">
      <c r="A236" t="s">
        <v>57</v>
      </c>
      <c r="B236">
        <v>2007</v>
      </c>
      <c r="C236" s="3">
        <v>253075.875</v>
      </c>
      <c r="D236" s="2"/>
      <c r="E236" s="2"/>
      <c r="F236" s="8">
        <f t="shared" si="9"/>
        <v>0</v>
      </c>
      <c r="G236" s="2"/>
    </row>
    <row r="237" spans="1:7" x14ac:dyDescent="0.25">
      <c r="A237" t="s">
        <v>57</v>
      </c>
      <c r="B237">
        <v>2008</v>
      </c>
      <c r="C237" s="3">
        <v>241593.125</v>
      </c>
      <c r="D237" s="2">
        <f t="shared" si="8"/>
        <v>-4.5372756292949692E-2</v>
      </c>
      <c r="E237" s="7">
        <f>STDEV(D237:D244)</f>
        <v>6.6327961974427072E-2</v>
      </c>
      <c r="F237" s="8">
        <f t="shared" si="9"/>
        <v>1</v>
      </c>
      <c r="G237" s="8">
        <f>SUM(F237:F244)</f>
        <v>4</v>
      </c>
    </row>
    <row r="238" spans="1:7" x14ac:dyDescent="0.25">
      <c r="A238" t="s">
        <v>57</v>
      </c>
      <c r="B238">
        <v>2009</v>
      </c>
      <c r="C238" s="3">
        <v>223766.66666666701</v>
      </c>
      <c r="D238" s="2">
        <f t="shared" si="8"/>
        <v>-7.3787109353103467E-2</v>
      </c>
      <c r="E238" s="2"/>
      <c r="F238" s="8">
        <f t="shared" si="9"/>
        <v>1</v>
      </c>
      <c r="G238" s="2"/>
    </row>
    <row r="239" spans="1:7" x14ac:dyDescent="0.25">
      <c r="A239" t="s">
        <v>57</v>
      </c>
      <c r="B239">
        <v>2010</v>
      </c>
      <c r="C239" s="3">
        <v>217162.29583333299</v>
      </c>
      <c r="D239" s="2">
        <f t="shared" si="8"/>
        <v>-2.9514542678388239E-2</v>
      </c>
      <c r="E239" s="2"/>
      <c r="F239" s="8">
        <f t="shared" si="9"/>
        <v>1</v>
      </c>
      <c r="G239" s="2"/>
    </row>
    <row r="240" spans="1:7" x14ac:dyDescent="0.25">
      <c r="A240" t="s">
        <v>57</v>
      </c>
      <c r="B240">
        <v>2011</v>
      </c>
      <c r="C240" s="3">
        <v>203639.5</v>
      </c>
      <c r="D240" s="2">
        <f t="shared" si="8"/>
        <v>-6.2270458973741095E-2</v>
      </c>
      <c r="E240" s="2"/>
      <c r="F240" s="8">
        <f t="shared" si="9"/>
        <v>1</v>
      </c>
      <c r="G240" s="2"/>
    </row>
    <row r="241" spans="1:7" x14ac:dyDescent="0.25">
      <c r="A241" t="s">
        <v>57</v>
      </c>
      <c r="B241">
        <v>2012</v>
      </c>
      <c r="C241" s="3">
        <v>204452.5</v>
      </c>
      <c r="D241" s="2">
        <f t="shared" si="8"/>
        <v>3.9923492249784543E-3</v>
      </c>
      <c r="E241" s="2"/>
      <c r="F241" s="8">
        <f t="shared" si="9"/>
        <v>0</v>
      </c>
      <c r="G241" s="2"/>
    </row>
    <row r="242" spans="1:7" x14ac:dyDescent="0.25">
      <c r="A242" t="s">
        <v>57</v>
      </c>
      <c r="B242">
        <v>2013</v>
      </c>
      <c r="C242" s="3">
        <v>221246.76666666701</v>
      </c>
      <c r="D242" s="2">
        <f t="shared" si="8"/>
        <v>8.214263296690924E-2</v>
      </c>
      <c r="E242" s="2"/>
      <c r="F242" s="8">
        <f t="shared" si="9"/>
        <v>0</v>
      </c>
      <c r="G242" s="2"/>
    </row>
    <row r="243" spans="1:7" x14ac:dyDescent="0.25">
      <c r="A243" t="s">
        <v>57</v>
      </c>
      <c r="B243">
        <v>2014</v>
      </c>
      <c r="C243" s="3">
        <v>239485.625</v>
      </c>
      <c r="D243" s="2">
        <f t="shared" si="8"/>
        <v>8.2436722615756311E-2</v>
      </c>
      <c r="E243" s="2"/>
      <c r="F243" s="8">
        <f t="shared" si="9"/>
        <v>0</v>
      </c>
      <c r="G243" s="2"/>
    </row>
    <row r="244" spans="1:7" x14ac:dyDescent="0.25">
      <c r="A244" t="s">
        <v>57</v>
      </c>
      <c r="B244">
        <v>2015</v>
      </c>
      <c r="C244" s="3">
        <v>256570.83333333299</v>
      </c>
      <c r="D244" s="2">
        <f t="shared" si="8"/>
        <v>7.1341268743512237E-2</v>
      </c>
      <c r="E244" s="2"/>
      <c r="F244" s="8">
        <f t="shared" si="9"/>
        <v>0</v>
      </c>
      <c r="G244" s="2"/>
    </row>
    <row r="245" spans="1:7" x14ac:dyDescent="0.25">
      <c r="A245" t="s">
        <v>58</v>
      </c>
      <c r="B245">
        <v>2007</v>
      </c>
      <c r="C245" s="3">
        <v>171758.33333333299</v>
      </c>
      <c r="D245" s="2"/>
      <c r="E245" s="2"/>
      <c r="F245" s="8">
        <f t="shared" si="9"/>
        <v>0</v>
      </c>
      <c r="G245" s="2"/>
    </row>
    <row r="246" spans="1:7" x14ac:dyDescent="0.25">
      <c r="A246" t="s">
        <v>58</v>
      </c>
      <c r="B246">
        <v>2008</v>
      </c>
      <c r="C246" s="3">
        <v>169827.75</v>
      </c>
      <c r="D246" s="2">
        <f t="shared" si="8"/>
        <v>-1.1240114501963015E-2</v>
      </c>
      <c r="E246" s="7">
        <f>STDEV(D246:D253)</f>
        <v>4.0247001422320072E-2</v>
      </c>
      <c r="F246" s="8">
        <f t="shared" si="9"/>
        <v>1</v>
      </c>
      <c r="G246" s="8">
        <f>SUM(F246:F253)</f>
        <v>5</v>
      </c>
    </row>
    <row r="247" spans="1:7" x14ac:dyDescent="0.25">
      <c r="A247" t="s">
        <v>58</v>
      </c>
      <c r="B247">
        <v>2009</v>
      </c>
      <c r="C247" s="3">
        <v>157189.70833333299</v>
      </c>
      <c r="D247" s="2">
        <f t="shared" si="8"/>
        <v>-7.4416823320493888E-2</v>
      </c>
      <c r="E247" s="2"/>
      <c r="F247" s="8">
        <f t="shared" si="9"/>
        <v>1</v>
      </c>
      <c r="G247" s="2"/>
    </row>
    <row r="248" spans="1:7" x14ac:dyDescent="0.25">
      <c r="A248" t="s">
        <v>58</v>
      </c>
      <c r="B248">
        <v>2010</v>
      </c>
      <c r="C248" s="3">
        <v>158039.58333333299</v>
      </c>
      <c r="D248" s="2">
        <f t="shared" si="8"/>
        <v>5.406683484632302E-3</v>
      </c>
      <c r="E248" s="2"/>
      <c r="F248" s="8">
        <f t="shared" si="9"/>
        <v>0</v>
      </c>
      <c r="G248" s="2"/>
    </row>
    <row r="249" spans="1:7" x14ac:dyDescent="0.25">
      <c r="A249" t="s">
        <v>58</v>
      </c>
      <c r="B249">
        <v>2011</v>
      </c>
      <c r="C249" s="3">
        <v>152096.25</v>
      </c>
      <c r="D249" s="2">
        <f t="shared" si="8"/>
        <v>-3.7606612267494205E-2</v>
      </c>
      <c r="E249" s="2"/>
      <c r="F249" s="8">
        <f t="shared" si="9"/>
        <v>1</v>
      </c>
      <c r="G249" s="2"/>
    </row>
    <row r="250" spans="1:7" x14ac:dyDescent="0.25">
      <c r="A250" t="s">
        <v>58</v>
      </c>
      <c r="B250">
        <v>2012</v>
      </c>
      <c r="C250" s="3">
        <v>150956.26666666701</v>
      </c>
      <c r="D250" s="2">
        <f t="shared" si="8"/>
        <v>-7.4951442480204996E-3</v>
      </c>
      <c r="E250" s="2"/>
      <c r="F250" s="8">
        <f t="shared" si="9"/>
        <v>1</v>
      </c>
      <c r="G250" s="2"/>
    </row>
    <row r="251" spans="1:7" x14ac:dyDescent="0.25">
      <c r="A251" t="s">
        <v>58</v>
      </c>
      <c r="B251">
        <v>2013</v>
      </c>
      <c r="C251" s="3">
        <v>159765.41666666701</v>
      </c>
      <c r="D251" s="2">
        <f t="shared" si="8"/>
        <v>5.8355642958843539E-2</v>
      </c>
      <c r="E251" s="2"/>
      <c r="F251" s="8">
        <f t="shared" si="9"/>
        <v>0</v>
      </c>
      <c r="G251" s="2"/>
    </row>
    <row r="252" spans="1:7" x14ac:dyDescent="0.25">
      <c r="A252" t="s">
        <v>58</v>
      </c>
      <c r="B252">
        <v>2014</v>
      </c>
      <c r="C252" s="3">
        <v>158637.5625</v>
      </c>
      <c r="D252" s="2">
        <f t="shared" si="8"/>
        <v>-7.0594387083166444E-3</v>
      </c>
      <c r="E252" s="2"/>
      <c r="F252" s="8">
        <f t="shared" si="9"/>
        <v>1</v>
      </c>
      <c r="G252" s="2"/>
    </row>
    <row r="253" spans="1:7" x14ac:dyDescent="0.25">
      <c r="A253" t="s">
        <v>58</v>
      </c>
      <c r="B253">
        <v>2015</v>
      </c>
      <c r="C253" s="3">
        <v>163534.33333333299</v>
      </c>
      <c r="D253" s="2">
        <f t="shared" si="8"/>
        <v>3.0867663094186749E-2</v>
      </c>
      <c r="E253" s="2"/>
      <c r="F253" s="8">
        <f t="shared" si="9"/>
        <v>0</v>
      </c>
      <c r="G253" s="2"/>
    </row>
    <row r="254" spans="1:7" x14ac:dyDescent="0.25">
      <c r="A254" t="s">
        <v>59</v>
      </c>
      <c r="B254">
        <v>2007</v>
      </c>
      <c r="C254" s="3">
        <v>262279.16666666698</v>
      </c>
      <c r="D254" s="2"/>
      <c r="E254" s="2"/>
      <c r="F254" s="8">
        <f t="shared" si="9"/>
        <v>0</v>
      </c>
      <c r="G254" s="2"/>
    </row>
    <row r="255" spans="1:7" x14ac:dyDescent="0.25">
      <c r="A255" t="s">
        <v>59</v>
      </c>
      <c r="B255">
        <v>2008</v>
      </c>
      <c r="C255" s="3">
        <v>243775</v>
      </c>
      <c r="D255" s="2">
        <f t="shared" si="8"/>
        <v>-7.0551416270832112E-2</v>
      </c>
      <c r="E255" s="7">
        <f>STDEV(D255:D262)</f>
        <v>5.0381105181722757E-2</v>
      </c>
      <c r="F255" s="8">
        <f t="shared" si="9"/>
        <v>1</v>
      </c>
      <c r="G255" s="8">
        <f>SUM(F255:F262)</f>
        <v>4</v>
      </c>
    </row>
    <row r="256" spans="1:7" x14ac:dyDescent="0.25">
      <c r="A256" t="s">
        <v>59</v>
      </c>
      <c r="B256">
        <v>2009</v>
      </c>
      <c r="C256" s="3">
        <v>216795.83333333299</v>
      </c>
      <c r="D256" s="2">
        <f t="shared" si="8"/>
        <v>-0.11067240966738594</v>
      </c>
      <c r="E256" s="2"/>
      <c r="F256" s="8">
        <f t="shared" si="9"/>
        <v>1</v>
      </c>
      <c r="G256" s="2"/>
    </row>
    <row r="257" spans="1:7" x14ac:dyDescent="0.25">
      <c r="A257" t="s">
        <v>59</v>
      </c>
      <c r="B257">
        <v>2010</v>
      </c>
      <c r="C257" s="3">
        <v>218958.33333333299</v>
      </c>
      <c r="D257" s="2">
        <f t="shared" si="8"/>
        <v>9.9748227018508356E-3</v>
      </c>
      <c r="E257" s="2"/>
      <c r="F257" s="8">
        <f t="shared" si="9"/>
        <v>0</v>
      </c>
      <c r="G257" s="2"/>
    </row>
    <row r="258" spans="1:7" x14ac:dyDescent="0.25">
      <c r="A258" t="s">
        <v>59</v>
      </c>
      <c r="B258">
        <v>2011</v>
      </c>
      <c r="C258" s="3">
        <v>212278.33333333299</v>
      </c>
      <c r="D258" s="2">
        <f t="shared" si="8"/>
        <v>-3.050808753568035E-2</v>
      </c>
      <c r="E258" s="2"/>
      <c r="F258" s="8">
        <f t="shared" si="9"/>
        <v>1</v>
      </c>
      <c r="G258" s="2"/>
    </row>
    <row r="259" spans="1:7" x14ac:dyDescent="0.25">
      <c r="A259" t="s">
        <v>59</v>
      </c>
      <c r="B259">
        <v>2012</v>
      </c>
      <c r="C259" s="3">
        <v>206363.75</v>
      </c>
      <c r="D259" s="2">
        <f t="shared" si="8"/>
        <v>-2.7862397638319204E-2</v>
      </c>
      <c r="E259" s="2"/>
      <c r="F259" s="8">
        <f t="shared" si="9"/>
        <v>1</v>
      </c>
      <c r="G259" s="2"/>
    </row>
    <row r="260" spans="1:7" x14ac:dyDescent="0.25">
      <c r="A260" t="s">
        <v>59</v>
      </c>
      <c r="B260">
        <v>2013</v>
      </c>
      <c r="C260" s="3">
        <v>210824.98749999999</v>
      </c>
      <c r="D260" s="2">
        <f t="shared" si="8"/>
        <v>2.161831959343629E-2</v>
      </c>
      <c r="E260" s="2"/>
      <c r="F260" s="8">
        <f t="shared" si="9"/>
        <v>0</v>
      </c>
      <c r="G260" s="2"/>
    </row>
    <row r="261" spans="1:7" x14ac:dyDescent="0.25">
      <c r="A261" t="s">
        <v>59</v>
      </c>
      <c r="B261">
        <v>2014</v>
      </c>
      <c r="C261" s="3">
        <v>213406.25</v>
      </c>
      <c r="D261" s="2">
        <f t="shared" si="8"/>
        <v>1.2243626956221268E-2</v>
      </c>
      <c r="E261" s="2"/>
      <c r="F261" s="8">
        <f t="shared" si="9"/>
        <v>0</v>
      </c>
      <c r="G261" s="2"/>
    </row>
    <row r="262" spans="1:7" x14ac:dyDescent="0.25">
      <c r="A262" t="s">
        <v>59</v>
      </c>
      <c r="B262">
        <v>2015</v>
      </c>
      <c r="C262" s="3">
        <v>221112.5</v>
      </c>
      <c r="D262" s="2">
        <f t="shared" si="8"/>
        <v>3.611070434909943E-2</v>
      </c>
      <c r="E262" s="2"/>
      <c r="F262" s="8">
        <f t="shared" si="9"/>
        <v>0</v>
      </c>
      <c r="G262" s="2"/>
    </row>
    <row r="263" spans="1:7" x14ac:dyDescent="0.25">
      <c r="A263" t="s">
        <v>60</v>
      </c>
      <c r="B263">
        <v>2007</v>
      </c>
      <c r="C263" s="3">
        <v>166213.33333333299</v>
      </c>
      <c r="D263" s="2"/>
      <c r="E263" s="2"/>
      <c r="F263" s="8">
        <f t="shared" si="9"/>
        <v>0</v>
      </c>
      <c r="G263" s="2"/>
    </row>
    <row r="264" spans="1:7" x14ac:dyDescent="0.25">
      <c r="A264" t="s">
        <v>60</v>
      </c>
      <c r="B264">
        <v>2008</v>
      </c>
      <c r="C264" s="3">
        <v>161419.8125</v>
      </c>
      <c r="D264" s="2">
        <f t="shared" si="8"/>
        <v>-2.8839568626662544E-2</v>
      </c>
      <c r="E264" s="7">
        <f>STDEV(D264:D271)</f>
        <v>4.6105743457183518E-2</v>
      </c>
      <c r="F264" s="8">
        <f t="shared" si="9"/>
        <v>1</v>
      </c>
      <c r="G264" s="8">
        <f>SUM(F264:F271)</f>
        <v>4</v>
      </c>
    </row>
    <row r="265" spans="1:7" x14ac:dyDescent="0.25">
      <c r="A265" t="s">
        <v>60</v>
      </c>
      <c r="B265">
        <v>2009</v>
      </c>
      <c r="C265" s="3">
        <v>147572.28750000001</v>
      </c>
      <c r="D265" s="2">
        <f t="shared" si="8"/>
        <v>-8.578578295647564E-2</v>
      </c>
      <c r="E265" s="2"/>
      <c r="F265" s="8">
        <f t="shared" si="9"/>
        <v>1</v>
      </c>
      <c r="G265" s="2"/>
    </row>
    <row r="266" spans="1:7" x14ac:dyDescent="0.25">
      <c r="A266" t="s">
        <v>60</v>
      </c>
      <c r="B266">
        <v>2010</v>
      </c>
      <c r="C266" s="3">
        <v>145811.6875</v>
      </c>
      <c r="D266" s="2">
        <f t="shared" ref="D266:D316" si="10">(C266-C265)/C265</f>
        <v>-1.193042426749674E-2</v>
      </c>
      <c r="E266" s="2"/>
      <c r="F266" s="8">
        <f t="shared" ref="F266:F316" si="11">IF(D266&lt;0,1,0)</f>
        <v>1</v>
      </c>
      <c r="G266" s="2"/>
    </row>
    <row r="267" spans="1:7" x14ac:dyDescent="0.25">
      <c r="A267" t="s">
        <v>60</v>
      </c>
      <c r="B267">
        <v>2011</v>
      </c>
      <c r="C267" s="3">
        <v>144127.84166666699</v>
      </c>
      <c r="D267" s="2">
        <f t="shared" si="10"/>
        <v>-1.1548085494401849E-2</v>
      </c>
      <c r="E267" s="2"/>
      <c r="F267" s="8">
        <f t="shared" si="11"/>
        <v>1</v>
      </c>
      <c r="G267" s="2"/>
    </row>
    <row r="268" spans="1:7" x14ac:dyDescent="0.25">
      <c r="A268" t="s">
        <v>60</v>
      </c>
      <c r="B268">
        <v>2012</v>
      </c>
      <c r="C268" s="3">
        <v>144192.04166666701</v>
      </c>
      <c r="D268" s="2">
        <f t="shared" si="10"/>
        <v>4.4543787832812196E-4</v>
      </c>
      <c r="E268" s="2"/>
      <c r="F268" s="8">
        <f t="shared" si="11"/>
        <v>0</v>
      </c>
      <c r="G268" s="2"/>
    </row>
    <row r="269" spans="1:7" x14ac:dyDescent="0.25">
      <c r="A269" t="s">
        <v>60</v>
      </c>
      <c r="B269">
        <v>2013</v>
      </c>
      <c r="C269" s="3">
        <v>153490</v>
      </c>
      <c r="D269" s="2">
        <f t="shared" si="10"/>
        <v>6.4483158889083195E-2</v>
      </c>
      <c r="E269" s="2"/>
      <c r="F269" s="8">
        <f t="shared" si="11"/>
        <v>0</v>
      </c>
      <c r="G269" s="2"/>
    </row>
    <row r="270" spans="1:7" x14ac:dyDescent="0.25">
      <c r="A270" t="s">
        <v>60</v>
      </c>
      <c r="B270">
        <v>2014</v>
      </c>
      <c r="C270" s="3">
        <v>158782.78333333301</v>
      </c>
      <c r="D270" s="2">
        <f t="shared" si="10"/>
        <v>3.4482919625597797E-2</v>
      </c>
      <c r="E270" s="2"/>
      <c r="F270" s="8">
        <f t="shared" si="11"/>
        <v>0</v>
      </c>
      <c r="G270" s="2"/>
    </row>
    <row r="271" spans="1:7" x14ac:dyDescent="0.25">
      <c r="A271" t="s">
        <v>60</v>
      </c>
      <c r="B271">
        <v>2015</v>
      </c>
      <c r="C271" s="3">
        <v>163978.33333333299</v>
      </c>
      <c r="D271" s="2">
        <f t="shared" si="10"/>
        <v>3.27211168045402E-2</v>
      </c>
      <c r="E271" s="2"/>
      <c r="F271" s="8">
        <f t="shared" si="11"/>
        <v>0</v>
      </c>
      <c r="G271" s="2"/>
    </row>
    <row r="272" spans="1:7" x14ac:dyDescent="0.25">
      <c r="A272" t="s">
        <v>64</v>
      </c>
      <c r="B272">
        <v>2007</v>
      </c>
      <c r="C272" s="3">
        <v>229358.45588333299</v>
      </c>
      <c r="D272" s="2"/>
      <c r="E272" s="2"/>
      <c r="F272" s="8">
        <f t="shared" si="11"/>
        <v>0</v>
      </c>
      <c r="G272" s="2"/>
    </row>
    <row r="273" spans="1:7" x14ac:dyDescent="0.25">
      <c r="A273" t="s">
        <v>64</v>
      </c>
      <c r="B273">
        <v>2008</v>
      </c>
      <c r="C273" s="3">
        <v>186860.41666666701</v>
      </c>
      <c r="D273" s="2">
        <f t="shared" si="10"/>
        <v>-0.18529091963491123</v>
      </c>
      <c r="E273" s="7">
        <f>STDEV(D273:D280)</f>
        <v>9.6717737196990949E-2</v>
      </c>
      <c r="F273" s="8">
        <f t="shared" si="11"/>
        <v>1</v>
      </c>
      <c r="G273" s="8">
        <f>SUM(F273:F280)</f>
        <v>4</v>
      </c>
    </row>
    <row r="274" spans="1:7" x14ac:dyDescent="0.25">
      <c r="A274" t="s">
        <v>64</v>
      </c>
      <c r="B274">
        <v>2009</v>
      </c>
      <c r="C274" s="3">
        <v>179981.25</v>
      </c>
      <c r="D274" s="2">
        <f t="shared" si="10"/>
        <v>-3.6814467126756345E-2</v>
      </c>
      <c r="E274" s="2"/>
      <c r="F274" s="8">
        <f t="shared" si="11"/>
        <v>1</v>
      </c>
      <c r="G274" s="2"/>
    </row>
    <row r="275" spans="1:7" x14ac:dyDescent="0.25">
      <c r="A275" t="s">
        <v>64</v>
      </c>
      <c r="B275">
        <v>2010</v>
      </c>
      <c r="C275" s="3">
        <v>209947.5</v>
      </c>
      <c r="D275" s="2">
        <f t="shared" si="10"/>
        <v>0.16649651005313054</v>
      </c>
      <c r="E275" s="2"/>
      <c r="F275" s="8">
        <f t="shared" si="11"/>
        <v>0</v>
      </c>
      <c r="G275" s="2"/>
    </row>
    <row r="276" spans="1:7" x14ac:dyDescent="0.25">
      <c r="A276" t="s">
        <v>64</v>
      </c>
      <c r="B276">
        <v>2011</v>
      </c>
      <c r="C276" s="3">
        <v>208708.125</v>
      </c>
      <c r="D276" s="2">
        <f t="shared" si="10"/>
        <v>-5.9032615296681313E-3</v>
      </c>
      <c r="E276" s="2"/>
      <c r="F276" s="8">
        <f t="shared" si="11"/>
        <v>1</v>
      </c>
      <c r="G276" s="2"/>
    </row>
    <row r="277" spans="1:7" x14ac:dyDescent="0.25">
      <c r="A277" t="s">
        <v>64</v>
      </c>
      <c r="B277">
        <v>2012</v>
      </c>
      <c r="C277" s="3">
        <v>203059.16666666701</v>
      </c>
      <c r="D277" s="2">
        <f t="shared" si="10"/>
        <v>-2.7066307712423718E-2</v>
      </c>
      <c r="E277" s="2"/>
      <c r="F277" s="8">
        <f t="shared" si="11"/>
        <v>1</v>
      </c>
      <c r="G277" s="2"/>
    </row>
    <row r="278" spans="1:7" x14ac:dyDescent="0.25">
      <c r="A278" t="s">
        <v>64</v>
      </c>
      <c r="B278">
        <v>2013</v>
      </c>
      <c r="C278" s="3">
        <v>209386.66666666701</v>
      </c>
      <c r="D278" s="2">
        <f t="shared" si="10"/>
        <v>3.1160868548165303E-2</v>
      </c>
      <c r="E278" s="2"/>
      <c r="F278" s="8">
        <f t="shared" si="11"/>
        <v>0</v>
      </c>
      <c r="G278" s="2"/>
    </row>
    <row r="279" spans="1:7" x14ac:dyDescent="0.25">
      <c r="A279" t="s">
        <v>64</v>
      </c>
      <c r="B279">
        <v>2014</v>
      </c>
      <c r="C279" s="3">
        <v>210997.91666666701</v>
      </c>
      <c r="D279" s="2">
        <f t="shared" si="10"/>
        <v>7.6950936067243887E-3</v>
      </c>
      <c r="E279" s="2"/>
      <c r="F279" s="8">
        <f t="shared" si="11"/>
        <v>0</v>
      </c>
      <c r="G279" s="2"/>
    </row>
    <row r="280" spans="1:7" x14ac:dyDescent="0.25">
      <c r="A280" t="s">
        <v>64</v>
      </c>
      <c r="B280">
        <v>2015</v>
      </c>
      <c r="C280" s="3">
        <v>215145.83333333299</v>
      </c>
      <c r="D280" s="2">
        <f t="shared" si="10"/>
        <v>1.9658566928975118E-2</v>
      </c>
      <c r="E280" s="2"/>
      <c r="F280" s="8">
        <f t="shared" si="11"/>
        <v>0</v>
      </c>
      <c r="G280" s="2"/>
    </row>
    <row r="281" spans="1:7" x14ac:dyDescent="0.25">
      <c r="A281" t="s">
        <v>65</v>
      </c>
      <c r="B281">
        <v>2007</v>
      </c>
      <c r="C281" s="3">
        <v>285018.75</v>
      </c>
      <c r="D281" s="2"/>
      <c r="E281" s="2"/>
      <c r="F281" s="8">
        <f t="shared" si="11"/>
        <v>0</v>
      </c>
      <c r="G281" s="2"/>
    </row>
    <row r="282" spans="1:7" x14ac:dyDescent="0.25">
      <c r="A282" t="s">
        <v>65</v>
      </c>
      <c r="B282">
        <v>2008</v>
      </c>
      <c r="C282" s="3">
        <v>256302.08333333299</v>
      </c>
      <c r="D282" s="2">
        <f t="shared" si="10"/>
        <v>-0.10075360539145936</v>
      </c>
      <c r="E282" s="7">
        <f>STDEV(D282:D289)</f>
        <v>6.0859100282981846E-2</v>
      </c>
      <c r="F282" s="8">
        <f t="shared" si="11"/>
        <v>1</v>
      </c>
      <c r="G282" s="8">
        <f>SUM(F282:F289)</f>
        <v>4</v>
      </c>
    </row>
    <row r="283" spans="1:7" x14ac:dyDescent="0.25">
      <c r="A283" t="s">
        <v>65</v>
      </c>
      <c r="B283">
        <v>2009</v>
      </c>
      <c r="C283" s="3">
        <v>236726.625</v>
      </c>
      <c r="D283" s="2">
        <f t="shared" si="10"/>
        <v>-7.6376508839665513E-2</v>
      </c>
      <c r="E283" s="2"/>
      <c r="F283" s="8">
        <f t="shared" si="11"/>
        <v>1</v>
      </c>
      <c r="G283" s="2"/>
    </row>
    <row r="284" spans="1:7" x14ac:dyDescent="0.25">
      <c r="A284" t="s">
        <v>65</v>
      </c>
      <c r="B284">
        <v>2010</v>
      </c>
      <c r="C284" s="3">
        <v>240833.54166666701</v>
      </c>
      <c r="D284" s="2">
        <f t="shared" si="10"/>
        <v>1.7348773787768935E-2</v>
      </c>
      <c r="E284" s="2"/>
      <c r="F284" s="8">
        <f t="shared" si="11"/>
        <v>0</v>
      </c>
      <c r="G284" s="2"/>
    </row>
    <row r="285" spans="1:7" x14ac:dyDescent="0.25">
      <c r="A285" t="s">
        <v>65</v>
      </c>
      <c r="B285">
        <v>2011</v>
      </c>
      <c r="C285" s="3">
        <v>239878.10416666701</v>
      </c>
      <c r="D285" s="2">
        <f t="shared" si="10"/>
        <v>-3.9672111010284538E-3</v>
      </c>
      <c r="E285" s="2"/>
      <c r="F285" s="8">
        <f t="shared" si="11"/>
        <v>1</v>
      </c>
      <c r="G285" s="2"/>
    </row>
    <row r="286" spans="1:7" x14ac:dyDescent="0.25">
      <c r="A286" t="s">
        <v>65</v>
      </c>
      <c r="B286">
        <v>2012</v>
      </c>
      <c r="C286" s="3">
        <v>235004.73749999999</v>
      </c>
      <c r="D286" s="2">
        <f t="shared" si="10"/>
        <v>-2.0316012933306364E-2</v>
      </c>
      <c r="E286" s="2"/>
      <c r="F286" s="8">
        <f t="shared" si="11"/>
        <v>1</v>
      </c>
      <c r="G286" s="2"/>
    </row>
    <row r="287" spans="1:7" x14ac:dyDescent="0.25">
      <c r="A287" t="s">
        <v>65</v>
      </c>
      <c r="B287">
        <v>2013</v>
      </c>
      <c r="C287" s="3">
        <v>255473.875</v>
      </c>
      <c r="D287" s="2">
        <f t="shared" si="10"/>
        <v>8.7100956847731684E-2</v>
      </c>
      <c r="E287" s="2"/>
      <c r="F287" s="8">
        <f t="shared" si="11"/>
        <v>0</v>
      </c>
      <c r="G287" s="2"/>
    </row>
    <row r="288" spans="1:7" x14ac:dyDescent="0.25">
      <c r="A288" t="s">
        <v>65</v>
      </c>
      <c r="B288">
        <v>2014</v>
      </c>
      <c r="C288" s="3">
        <v>265164.70416666701</v>
      </c>
      <c r="D288" s="2">
        <f t="shared" si="10"/>
        <v>3.7932759921800271E-2</v>
      </c>
      <c r="E288" s="2"/>
      <c r="F288" s="8">
        <f t="shared" si="11"/>
        <v>0</v>
      </c>
      <c r="G288" s="2"/>
    </row>
    <row r="289" spans="1:7" x14ac:dyDescent="0.25">
      <c r="A289" t="s">
        <v>65</v>
      </c>
      <c r="B289">
        <v>2015</v>
      </c>
      <c r="C289" s="3">
        <v>270347.91666666698</v>
      </c>
      <c r="D289" s="2">
        <f t="shared" si="10"/>
        <v>1.9547143411447782E-2</v>
      </c>
      <c r="E289" s="2"/>
      <c r="F289" s="8">
        <f t="shared" si="11"/>
        <v>0</v>
      </c>
      <c r="G289" s="2"/>
    </row>
    <row r="290" spans="1:7" x14ac:dyDescent="0.25">
      <c r="A290" t="s">
        <v>66</v>
      </c>
      <c r="B290">
        <v>2007</v>
      </c>
      <c r="C290" s="3">
        <v>297284.375</v>
      </c>
      <c r="D290" s="2"/>
      <c r="E290" s="2"/>
      <c r="F290" s="8">
        <f t="shared" si="11"/>
        <v>0</v>
      </c>
      <c r="G290" s="2"/>
    </row>
    <row r="291" spans="1:7" x14ac:dyDescent="0.25">
      <c r="A291" t="s">
        <v>66</v>
      </c>
      <c r="B291">
        <v>2008</v>
      </c>
      <c r="C291" s="3">
        <v>283070.04166666698</v>
      </c>
      <c r="D291" s="2">
        <f t="shared" si="10"/>
        <v>-4.78139267606413E-2</v>
      </c>
      <c r="E291" s="7">
        <f>STDEV(D291:D298)</f>
        <v>6.2489228263368807E-2</v>
      </c>
      <c r="F291" s="8">
        <f t="shared" si="11"/>
        <v>1</v>
      </c>
      <c r="G291" s="8">
        <f>SUM(F291:F298)</f>
        <v>5</v>
      </c>
    </row>
    <row r="292" spans="1:7" x14ac:dyDescent="0.25">
      <c r="A292" t="s">
        <v>66</v>
      </c>
      <c r="B292">
        <v>2009</v>
      </c>
      <c r="C292" s="3">
        <v>255874.10416666701</v>
      </c>
      <c r="D292" s="2">
        <f t="shared" si="10"/>
        <v>-9.6074940816326018E-2</v>
      </c>
      <c r="E292" s="2"/>
      <c r="F292" s="8">
        <f t="shared" si="11"/>
        <v>1</v>
      </c>
      <c r="G292" s="2"/>
    </row>
    <row r="293" spans="1:7" x14ac:dyDescent="0.25">
      <c r="A293" t="s">
        <v>66</v>
      </c>
      <c r="B293">
        <v>2010</v>
      </c>
      <c r="C293" s="3">
        <v>249743.78750000001</v>
      </c>
      <c r="D293" s="2">
        <f t="shared" si="10"/>
        <v>-2.3958331721892174E-2</v>
      </c>
      <c r="E293" s="2"/>
      <c r="F293" s="8">
        <f t="shared" si="11"/>
        <v>1</v>
      </c>
      <c r="G293" s="2"/>
    </row>
    <row r="294" spans="1:7" x14ac:dyDescent="0.25">
      <c r="A294" t="s">
        <v>66</v>
      </c>
      <c r="B294">
        <v>2011</v>
      </c>
      <c r="C294" s="3">
        <v>237401.78333333301</v>
      </c>
      <c r="D294" s="2">
        <f t="shared" si="10"/>
        <v>-4.9418663383836929E-2</v>
      </c>
      <c r="E294" s="2"/>
      <c r="F294" s="8">
        <f t="shared" si="11"/>
        <v>1</v>
      </c>
      <c r="G294" s="2"/>
    </row>
    <row r="295" spans="1:7" x14ac:dyDescent="0.25">
      <c r="A295" t="s">
        <v>66</v>
      </c>
      <c r="B295">
        <v>2012</v>
      </c>
      <c r="C295" s="3">
        <v>228539.30416666699</v>
      </c>
      <c r="D295" s="2">
        <f t="shared" si="10"/>
        <v>-3.7331139818028727E-2</v>
      </c>
      <c r="E295" s="2"/>
      <c r="F295" s="8">
        <f t="shared" si="11"/>
        <v>1</v>
      </c>
      <c r="G295" s="2"/>
    </row>
    <row r="296" spans="1:7" x14ac:dyDescent="0.25">
      <c r="A296" t="s">
        <v>66</v>
      </c>
      <c r="B296">
        <v>2013</v>
      </c>
      <c r="C296" s="3">
        <v>243217.004166667</v>
      </c>
      <c r="D296" s="2">
        <f t="shared" si="10"/>
        <v>6.4223963810163681E-2</v>
      </c>
      <c r="E296" s="2"/>
      <c r="F296" s="8">
        <f t="shared" si="11"/>
        <v>0</v>
      </c>
      <c r="G296" s="2"/>
    </row>
    <row r="297" spans="1:7" x14ac:dyDescent="0.25">
      <c r="A297" t="s">
        <v>66</v>
      </c>
      <c r="B297">
        <v>2014</v>
      </c>
      <c r="C297" s="3">
        <v>257099.20833333299</v>
      </c>
      <c r="D297" s="2">
        <f t="shared" si="10"/>
        <v>5.7077440840250904E-2</v>
      </c>
      <c r="E297" s="2"/>
      <c r="F297" s="8">
        <f t="shared" si="11"/>
        <v>0</v>
      </c>
      <c r="G297" s="2"/>
    </row>
    <row r="298" spans="1:7" x14ac:dyDescent="0.25">
      <c r="A298" t="s">
        <v>66</v>
      </c>
      <c r="B298">
        <v>2015</v>
      </c>
      <c r="C298" s="3">
        <v>274470.83333333302</v>
      </c>
      <c r="D298" s="2">
        <f t="shared" si="10"/>
        <v>6.7567788763773465E-2</v>
      </c>
      <c r="E298" s="2"/>
      <c r="F298" s="8">
        <f t="shared" si="11"/>
        <v>0</v>
      </c>
      <c r="G298" s="2"/>
    </row>
    <row r="299" spans="1:7" x14ac:dyDescent="0.25">
      <c r="A299" t="s">
        <v>67</v>
      </c>
      <c r="B299">
        <v>2007</v>
      </c>
      <c r="C299" s="3">
        <v>94929.166666666701</v>
      </c>
      <c r="D299" s="2"/>
      <c r="E299" s="2"/>
      <c r="F299" s="8">
        <f t="shared" si="11"/>
        <v>0</v>
      </c>
      <c r="G299" s="2"/>
    </row>
    <row r="300" spans="1:7" x14ac:dyDescent="0.25">
      <c r="A300" t="s">
        <v>67</v>
      </c>
      <c r="B300">
        <v>2008</v>
      </c>
      <c r="C300" s="3">
        <v>101163.77499999999</v>
      </c>
      <c r="D300" s="2">
        <f t="shared" si="10"/>
        <v>6.567642540490673E-2</v>
      </c>
      <c r="E300" s="7">
        <f>STDEV(D300:D307)</f>
        <v>6.695222330001413E-2</v>
      </c>
      <c r="F300" s="8">
        <f t="shared" si="11"/>
        <v>0</v>
      </c>
      <c r="G300" s="8">
        <f>SUM(F300:F307)</f>
        <v>3</v>
      </c>
    </row>
    <row r="301" spans="1:7" x14ac:dyDescent="0.25">
      <c r="A301" t="s">
        <v>67</v>
      </c>
      <c r="B301">
        <v>2009</v>
      </c>
      <c r="C301" s="3">
        <v>96992.633333333302</v>
      </c>
      <c r="D301" s="2">
        <f t="shared" si="10"/>
        <v>-4.1231573917310735E-2</v>
      </c>
      <c r="E301" s="2"/>
      <c r="F301" s="8">
        <f t="shared" si="11"/>
        <v>1</v>
      </c>
      <c r="G301" s="2"/>
    </row>
    <row r="302" spans="1:7" x14ac:dyDescent="0.25">
      <c r="A302" t="s">
        <v>67</v>
      </c>
      <c r="B302">
        <v>2010</v>
      </c>
      <c r="C302" s="3">
        <v>96252.916666666701</v>
      </c>
      <c r="D302" s="2">
        <f t="shared" si="10"/>
        <v>-7.6265242136939115E-3</v>
      </c>
      <c r="E302" s="2"/>
      <c r="F302" s="8">
        <f t="shared" si="11"/>
        <v>1</v>
      </c>
      <c r="G302" s="2"/>
    </row>
    <row r="303" spans="1:7" x14ac:dyDescent="0.25">
      <c r="A303" t="s">
        <v>67</v>
      </c>
      <c r="B303">
        <v>2011</v>
      </c>
      <c r="C303" s="3">
        <v>111989.58333333299</v>
      </c>
      <c r="D303" s="2">
        <f t="shared" si="10"/>
        <v>0.16349288116809918</v>
      </c>
      <c r="E303" s="2"/>
      <c r="F303" s="8">
        <f t="shared" si="11"/>
        <v>0</v>
      </c>
      <c r="G303" s="2"/>
    </row>
    <row r="304" spans="1:7" x14ac:dyDescent="0.25">
      <c r="A304" t="s">
        <v>67</v>
      </c>
      <c r="B304">
        <v>2012</v>
      </c>
      <c r="C304" s="3">
        <v>122739.75</v>
      </c>
      <c r="D304" s="2">
        <f t="shared" si="10"/>
        <v>9.5992558831739905E-2</v>
      </c>
      <c r="E304" s="2"/>
      <c r="F304" s="8">
        <f t="shared" si="11"/>
        <v>0</v>
      </c>
      <c r="G304" s="2"/>
    </row>
    <row r="305" spans="1:7" x14ac:dyDescent="0.25">
      <c r="A305" t="s">
        <v>67</v>
      </c>
      <c r="B305">
        <v>2013</v>
      </c>
      <c r="C305" s="3">
        <v>123525.4375</v>
      </c>
      <c r="D305" s="2">
        <f t="shared" si="10"/>
        <v>6.4012473546670905E-3</v>
      </c>
      <c r="E305" s="2"/>
      <c r="F305" s="8">
        <f t="shared" si="11"/>
        <v>0</v>
      </c>
      <c r="G305" s="2"/>
    </row>
    <row r="306" spans="1:7" x14ac:dyDescent="0.25">
      <c r="A306" t="s">
        <v>67</v>
      </c>
      <c r="B306">
        <v>2014</v>
      </c>
      <c r="C306" s="3">
        <v>122552.370833333</v>
      </c>
      <c r="D306" s="2">
        <f t="shared" si="10"/>
        <v>-7.8774597877218633E-3</v>
      </c>
      <c r="E306" s="2"/>
      <c r="F306" s="8">
        <f t="shared" si="11"/>
        <v>1</v>
      </c>
      <c r="G306" s="2"/>
    </row>
    <row r="307" spans="1:7" x14ac:dyDescent="0.25">
      <c r="A307" t="s">
        <v>67</v>
      </c>
      <c r="B307">
        <v>2015</v>
      </c>
      <c r="C307" s="3">
        <v>126445.83333333299</v>
      </c>
      <c r="D307" s="2">
        <f t="shared" si="10"/>
        <v>3.176978522345332E-2</v>
      </c>
      <c r="E307" s="2"/>
      <c r="F307" s="8">
        <f t="shared" si="11"/>
        <v>0</v>
      </c>
      <c r="G307" s="2"/>
    </row>
    <row r="308" spans="1:7" x14ac:dyDescent="0.25">
      <c r="A308" t="s">
        <v>68</v>
      </c>
      <c r="B308">
        <v>2007</v>
      </c>
      <c r="C308" s="3">
        <v>166317.5</v>
      </c>
      <c r="D308" s="2"/>
      <c r="E308" s="2"/>
      <c r="F308" s="8">
        <f t="shared" si="11"/>
        <v>0</v>
      </c>
      <c r="G308" s="2"/>
    </row>
    <row r="309" spans="1:7" x14ac:dyDescent="0.25">
      <c r="A309" t="s">
        <v>68</v>
      </c>
      <c r="B309">
        <v>2008</v>
      </c>
      <c r="C309" s="3">
        <v>162394.16666666701</v>
      </c>
      <c r="D309" s="2">
        <f t="shared" si="10"/>
        <v>-2.3589419834551349E-2</v>
      </c>
      <c r="E309" s="7">
        <f>STDEV(D309:D316)</f>
        <v>3.7736611993637023E-2</v>
      </c>
      <c r="F309" s="8">
        <f t="shared" si="11"/>
        <v>1</v>
      </c>
      <c r="G309" s="8">
        <f>SUM(F309:F316)</f>
        <v>5</v>
      </c>
    </row>
    <row r="310" spans="1:7" x14ac:dyDescent="0.25">
      <c r="A310" t="s">
        <v>68</v>
      </c>
      <c r="B310">
        <v>2009</v>
      </c>
      <c r="C310" s="3">
        <v>149924.79166666701</v>
      </c>
      <c r="D310" s="2">
        <f t="shared" si="10"/>
        <v>-7.6784623831931409E-2</v>
      </c>
      <c r="E310" s="2"/>
      <c r="F310" s="8">
        <f t="shared" si="11"/>
        <v>1</v>
      </c>
      <c r="G310" s="2"/>
    </row>
    <row r="311" spans="1:7" x14ac:dyDescent="0.25">
      <c r="A311" t="s">
        <v>68</v>
      </c>
      <c r="B311">
        <v>2010</v>
      </c>
      <c r="C311" s="3">
        <v>148618.33333333299</v>
      </c>
      <c r="D311" s="2">
        <f t="shared" si="10"/>
        <v>-8.7140913708168202E-3</v>
      </c>
      <c r="E311" s="2"/>
      <c r="F311" s="8">
        <f t="shared" si="11"/>
        <v>1</v>
      </c>
      <c r="G311" s="2"/>
    </row>
    <row r="312" spans="1:7" x14ac:dyDescent="0.25">
      <c r="A312" t="s">
        <v>68</v>
      </c>
      <c r="B312">
        <v>2011</v>
      </c>
      <c r="C312" s="3">
        <v>146357.5</v>
      </c>
      <c r="D312" s="2">
        <f t="shared" si="10"/>
        <v>-1.5212344820623289E-2</v>
      </c>
      <c r="E312" s="2"/>
      <c r="F312" s="8">
        <f t="shared" si="11"/>
        <v>1</v>
      </c>
      <c r="G312" s="2"/>
    </row>
    <row r="313" spans="1:7" x14ac:dyDescent="0.25">
      <c r="A313" t="s">
        <v>68</v>
      </c>
      <c r="B313">
        <v>2012</v>
      </c>
      <c r="C313" s="3">
        <v>143058.75</v>
      </c>
      <c r="D313" s="2">
        <f t="shared" si="10"/>
        <v>-2.253898843585057E-2</v>
      </c>
      <c r="E313" s="2"/>
      <c r="F313" s="8">
        <f t="shared" si="11"/>
        <v>1</v>
      </c>
      <c r="G313" s="2"/>
    </row>
    <row r="314" spans="1:7" x14ac:dyDescent="0.25">
      <c r="A314" t="s">
        <v>68</v>
      </c>
      <c r="B314">
        <v>2013</v>
      </c>
      <c r="C314" s="3">
        <v>146987.5</v>
      </c>
      <c r="D314" s="2">
        <f t="shared" si="10"/>
        <v>2.746249355596914E-2</v>
      </c>
      <c r="E314" s="2"/>
      <c r="F314" s="8">
        <f t="shared" si="11"/>
        <v>0</v>
      </c>
      <c r="G314" s="2"/>
    </row>
    <row r="315" spans="1:7" x14ac:dyDescent="0.25">
      <c r="A315" t="s">
        <v>68</v>
      </c>
      <c r="B315">
        <v>2014</v>
      </c>
      <c r="C315" s="3">
        <v>149495.41666666701</v>
      </c>
      <c r="D315" s="2">
        <f t="shared" si="10"/>
        <v>1.706210845593677E-2</v>
      </c>
      <c r="E315" s="2"/>
      <c r="F315" s="8">
        <f t="shared" si="11"/>
        <v>0</v>
      </c>
      <c r="G315" s="2"/>
    </row>
    <row r="316" spans="1:7" x14ac:dyDescent="0.25">
      <c r="A316" t="s">
        <v>68</v>
      </c>
      <c r="B316">
        <v>2015</v>
      </c>
      <c r="C316" s="3">
        <v>156281.25</v>
      </c>
      <c r="D316" s="2">
        <f t="shared" si="10"/>
        <v>4.5391581124279587E-2</v>
      </c>
      <c r="E316" s="2"/>
      <c r="F316" s="8">
        <f t="shared" si="11"/>
        <v>0</v>
      </c>
      <c r="G316" s="2"/>
    </row>
  </sheetData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M351"/>
  <sheetViews>
    <sheetView tabSelected="1" workbookViewId="0">
      <selection activeCell="G27" sqref="G27"/>
    </sheetView>
  </sheetViews>
  <sheetFormatPr defaultRowHeight="15" x14ac:dyDescent="0.25"/>
  <cols>
    <col min="1" max="1" width="17.85546875" bestFit="1" customWidth="1"/>
    <col min="2" max="2" width="5" bestFit="1" customWidth="1"/>
    <col min="3" max="3" width="12" bestFit="1" customWidth="1"/>
    <col min="4" max="4" width="11.140625" bestFit="1" customWidth="1"/>
    <col min="5" max="5" width="13.7109375" style="9" customWidth="1"/>
    <col min="7" max="7" width="19.140625" style="10" bestFit="1" customWidth="1"/>
    <col min="9" max="9" width="15.28515625" style="10" bestFit="1" customWidth="1"/>
    <col min="11" max="11" width="14.28515625" style="10" bestFit="1" customWidth="1"/>
    <col min="13" max="13" width="15" bestFit="1" customWidth="1"/>
  </cols>
  <sheetData>
    <row r="1" spans="1:13" x14ac:dyDescent="0.25">
      <c r="A1" t="s">
        <v>79</v>
      </c>
      <c r="B1" t="s">
        <v>2</v>
      </c>
      <c r="C1" t="s">
        <v>80</v>
      </c>
    </row>
    <row r="2" spans="1:13" x14ac:dyDescent="0.25">
      <c r="A2" t="s">
        <v>25</v>
      </c>
      <c r="B2">
        <v>2007</v>
      </c>
      <c r="C2">
        <v>154516.91666666701</v>
      </c>
      <c r="G2" s="10" t="s">
        <v>82</v>
      </c>
      <c r="I2" s="10" t="s">
        <v>81</v>
      </c>
      <c r="K2" s="10" t="s">
        <v>83</v>
      </c>
      <c r="M2" t="s">
        <v>84</v>
      </c>
    </row>
    <row r="3" spans="1:13" x14ac:dyDescent="0.25">
      <c r="A3" t="s">
        <v>25</v>
      </c>
      <c r="B3">
        <v>2008</v>
      </c>
      <c r="C3">
        <v>151912.79166666701</v>
      </c>
      <c r="D3" s="5">
        <f>(C3-C2)/C2</f>
        <v>-1.6853332671773226E-2</v>
      </c>
      <c r="E3" s="9">
        <f>STDEV(D3:D11)</f>
        <v>3.1672338058813962E-2</v>
      </c>
      <c r="G3" s="10">
        <f>MIN(E:E)</f>
        <v>2.645917065268143E-2</v>
      </c>
      <c r="I3" s="10">
        <f>MAX(E:E)</f>
        <v>0.46326200280915641</v>
      </c>
      <c r="K3" s="10">
        <f>AVERAGE(E:E)</f>
        <v>7.4034762207793897E-2</v>
      </c>
      <c r="M3" s="9">
        <f>AVERAGE(D:D)</f>
        <v>2.9254160295833212E-3</v>
      </c>
    </row>
    <row r="4" spans="1:13" x14ac:dyDescent="0.25">
      <c r="A4" t="s">
        <v>25</v>
      </c>
      <c r="B4">
        <v>2009</v>
      </c>
      <c r="C4">
        <v>143745.85833333299</v>
      </c>
      <c r="D4" s="5">
        <f t="shared" ref="D4:D67" si="0">(C4-C3)/C3</f>
        <v>-5.3760669155855048E-2</v>
      </c>
    </row>
    <row r="5" spans="1:13" x14ac:dyDescent="0.25">
      <c r="A5" t="s">
        <v>25</v>
      </c>
      <c r="B5">
        <v>2010</v>
      </c>
      <c r="C5">
        <v>138120.183333333</v>
      </c>
      <c r="D5" s="5">
        <f t="shared" si="0"/>
        <v>-3.9136258012767107E-2</v>
      </c>
    </row>
    <row r="6" spans="1:13" x14ac:dyDescent="0.25">
      <c r="A6" t="s">
        <v>25</v>
      </c>
      <c r="B6">
        <v>2011</v>
      </c>
      <c r="C6">
        <v>136974.84583333301</v>
      </c>
      <c r="D6" s="5">
        <f t="shared" si="0"/>
        <v>-8.2923253673642221E-3</v>
      </c>
    </row>
    <row r="7" spans="1:13" x14ac:dyDescent="0.25">
      <c r="A7" t="s">
        <v>25</v>
      </c>
      <c r="B7">
        <v>2012</v>
      </c>
      <c r="C7">
        <v>137422.29166666701</v>
      </c>
      <c r="D7" s="5">
        <f t="shared" si="0"/>
        <v>3.2666277564454413E-3</v>
      </c>
    </row>
    <row r="8" spans="1:13" x14ac:dyDescent="0.25">
      <c r="A8" t="s">
        <v>25</v>
      </c>
      <c r="B8">
        <v>2013</v>
      </c>
      <c r="C8">
        <v>137044.42916666699</v>
      </c>
      <c r="D8" s="5">
        <f t="shared" si="0"/>
        <v>-2.749644875058297E-3</v>
      </c>
    </row>
    <row r="9" spans="1:13" x14ac:dyDescent="0.25">
      <c r="A9" t="s">
        <v>25</v>
      </c>
      <c r="B9">
        <v>2014</v>
      </c>
      <c r="C9">
        <v>139730.5625</v>
      </c>
      <c r="D9" s="5">
        <f t="shared" si="0"/>
        <v>1.9600456214577407E-2</v>
      </c>
    </row>
    <row r="10" spans="1:13" x14ac:dyDescent="0.25">
      <c r="A10" t="s">
        <v>25</v>
      </c>
      <c r="B10">
        <v>2015</v>
      </c>
      <c r="C10">
        <v>145710.1875</v>
      </c>
      <c r="D10" s="5">
        <f t="shared" si="0"/>
        <v>4.2793966423773609E-2</v>
      </c>
    </row>
    <row r="11" spans="1:13" x14ac:dyDescent="0.25">
      <c r="A11" t="s">
        <v>25</v>
      </c>
      <c r="B11">
        <v>2016</v>
      </c>
      <c r="C11">
        <v>150481.79166666701</v>
      </c>
      <c r="D11" s="5">
        <f t="shared" si="0"/>
        <v>3.2747224120255873E-2</v>
      </c>
    </row>
    <row r="12" spans="1:13" x14ac:dyDescent="0.25">
      <c r="A12" t="s">
        <v>27</v>
      </c>
      <c r="B12">
        <v>2007</v>
      </c>
      <c r="C12">
        <v>244604.76666666701</v>
      </c>
      <c r="D12" s="5"/>
    </row>
    <row r="13" spans="1:13" x14ac:dyDescent="0.25">
      <c r="A13" t="s">
        <v>27</v>
      </c>
      <c r="B13">
        <v>2008</v>
      </c>
      <c r="C13">
        <v>219837.441666667</v>
      </c>
      <c r="D13" s="5">
        <f t="shared" si="0"/>
        <v>-0.10125446587781123</v>
      </c>
      <c r="E13" s="9">
        <f>STDEV(D13:D21)</f>
        <v>0.1062090708808397</v>
      </c>
    </row>
    <row r="14" spans="1:13" x14ac:dyDescent="0.25">
      <c r="A14" t="s">
        <v>27</v>
      </c>
      <c r="B14">
        <v>2009</v>
      </c>
      <c r="C14">
        <v>180216.66250000001</v>
      </c>
      <c r="D14" s="5">
        <f t="shared" si="0"/>
        <v>-0.18022762121996858</v>
      </c>
    </row>
    <row r="15" spans="1:13" x14ac:dyDescent="0.25">
      <c r="A15" t="s">
        <v>27</v>
      </c>
      <c r="B15">
        <v>2010</v>
      </c>
      <c r="C15">
        <v>157074.745833333</v>
      </c>
      <c r="D15" s="5">
        <f t="shared" si="0"/>
        <v>-0.1284116371130056</v>
      </c>
    </row>
    <row r="16" spans="1:13" x14ac:dyDescent="0.25">
      <c r="A16" t="s">
        <v>27</v>
      </c>
      <c r="B16">
        <v>2011</v>
      </c>
      <c r="C16">
        <v>150621.94583333301</v>
      </c>
      <c r="D16" s="5">
        <f t="shared" si="0"/>
        <v>-4.1081078729529499E-2</v>
      </c>
    </row>
    <row r="17" spans="1:5" x14ac:dyDescent="0.25">
      <c r="A17" t="s">
        <v>27</v>
      </c>
      <c r="B17">
        <v>2012</v>
      </c>
      <c r="C17">
        <v>158832.16666666701</v>
      </c>
      <c r="D17" s="5">
        <f t="shared" si="0"/>
        <v>5.4508795434224516E-2</v>
      </c>
    </row>
    <row r="18" spans="1:5" x14ac:dyDescent="0.25">
      <c r="A18" t="s">
        <v>27</v>
      </c>
      <c r="B18">
        <v>2013</v>
      </c>
      <c r="C18">
        <v>180480.32916666701</v>
      </c>
      <c r="D18" s="5">
        <f t="shared" si="0"/>
        <v>0.1362958332327727</v>
      </c>
    </row>
    <row r="19" spans="1:5" x14ac:dyDescent="0.25">
      <c r="A19" t="s">
        <v>27</v>
      </c>
      <c r="B19">
        <v>2014</v>
      </c>
      <c r="C19">
        <v>191372.41666666701</v>
      </c>
      <c r="D19" s="5">
        <f t="shared" si="0"/>
        <v>6.03505520534681E-2</v>
      </c>
    </row>
    <row r="20" spans="1:5" x14ac:dyDescent="0.25">
      <c r="A20" t="s">
        <v>27</v>
      </c>
      <c r="B20">
        <v>2015</v>
      </c>
      <c r="C20">
        <v>201858.33333333299</v>
      </c>
      <c r="D20" s="5">
        <f t="shared" si="0"/>
        <v>5.479324998508215E-2</v>
      </c>
    </row>
    <row r="21" spans="1:5" x14ac:dyDescent="0.25">
      <c r="A21" t="s">
        <v>27</v>
      </c>
      <c r="B21">
        <v>2016</v>
      </c>
      <c r="C21">
        <v>211341.66666666701</v>
      </c>
      <c r="D21" s="5">
        <f t="shared" si="0"/>
        <v>4.6980142839453551E-2</v>
      </c>
    </row>
    <row r="22" spans="1:5" x14ac:dyDescent="0.25">
      <c r="A22" t="s">
        <v>28</v>
      </c>
      <c r="B22">
        <v>2007</v>
      </c>
      <c r="C22">
        <v>129541.66666666701</v>
      </c>
      <c r="D22" s="5"/>
    </row>
    <row r="23" spans="1:5" x14ac:dyDescent="0.25">
      <c r="A23" t="s">
        <v>28</v>
      </c>
      <c r="B23">
        <v>2008</v>
      </c>
      <c r="C23">
        <v>127991.66666666701</v>
      </c>
      <c r="D23" s="5">
        <f t="shared" si="0"/>
        <v>-1.1965262142167869E-2</v>
      </c>
      <c r="E23" s="9">
        <f>STDEV(D23:D31)</f>
        <v>4.9532524449127487E-2</v>
      </c>
    </row>
    <row r="24" spans="1:5" x14ac:dyDescent="0.25">
      <c r="A24" t="s">
        <v>28</v>
      </c>
      <c r="B24">
        <v>2009</v>
      </c>
      <c r="C24">
        <v>118860</v>
      </c>
      <c r="D24" s="5">
        <f t="shared" si="0"/>
        <v>-7.1345790741587201E-2</v>
      </c>
    </row>
    <row r="25" spans="1:5" x14ac:dyDescent="0.25">
      <c r="A25" t="s">
        <v>28</v>
      </c>
      <c r="B25">
        <v>2010</v>
      </c>
      <c r="C25">
        <v>116154.16666666701</v>
      </c>
      <c r="D25" s="5">
        <f t="shared" si="0"/>
        <v>-2.276487744685339E-2</v>
      </c>
    </row>
    <row r="26" spans="1:5" x14ac:dyDescent="0.25">
      <c r="A26" t="s">
        <v>28</v>
      </c>
      <c r="B26">
        <v>2011</v>
      </c>
      <c r="C26">
        <v>113301.75</v>
      </c>
      <c r="D26" s="5">
        <f t="shared" si="0"/>
        <v>-2.4557161817989004E-2</v>
      </c>
    </row>
    <row r="27" spans="1:5" x14ac:dyDescent="0.25">
      <c r="A27" t="s">
        <v>28</v>
      </c>
      <c r="B27">
        <v>2012</v>
      </c>
      <c r="C27">
        <v>111116.825</v>
      </c>
      <c r="D27" s="5">
        <f t="shared" si="0"/>
        <v>-1.9284124031623544E-2</v>
      </c>
    </row>
    <row r="28" spans="1:5" x14ac:dyDescent="0.25">
      <c r="A28" t="s">
        <v>28</v>
      </c>
      <c r="B28">
        <v>2013</v>
      </c>
      <c r="C28">
        <v>120083.33333333299</v>
      </c>
      <c r="D28" s="5">
        <f t="shared" si="0"/>
        <v>8.0694425289176475E-2</v>
      </c>
    </row>
    <row r="29" spans="1:5" x14ac:dyDescent="0.25">
      <c r="A29" t="s">
        <v>28</v>
      </c>
      <c r="B29">
        <v>2014</v>
      </c>
      <c r="C29">
        <v>122957.29166666701</v>
      </c>
      <c r="D29" s="5">
        <f t="shared" si="0"/>
        <v>2.3933032616244444E-2</v>
      </c>
    </row>
    <row r="30" spans="1:5" x14ac:dyDescent="0.25">
      <c r="A30" t="s">
        <v>28</v>
      </c>
      <c r="B30">
        <v>2015</v>
      </c>
      <c r="C30">
        <v>129560.83333333299</v>
      </c>
      <c r="D30" s="5">
        <f t="shared" si="0"/>
        <v>5.3705978532513243E-2</v>
      </c>
    </row>
    <row r="31" spans="1:5" x14ac:dyDescent="0.25">
      <c r="A31" t="s">
        <v>28</v>
      </c>
      <c r="B31">
        <v>2016</v>
      </c>
      <c r="C31">
        <v>137150</v>
      </c>
      <c r="D31" s="5">
        <f t="shared" si="0"/>
        <v>5.8576087166263155E-2</v>
      </c>
    </row>
    <row r="32" spans="1:5" x14ac:dyDescent="0.25">
      <c r="A32" t="s">
        <v>29</v>
      </c>
      <c r="B32">
        <v>2007</v>
      </c>
      <c r="C32">
        <v>477092.13333333301</v>
      </c>
      <c r="D32" s="5"/>
    </row>
    <row r="33" spans="1:5" x14ac:dyDescent="0.25">
      <c r="A33" t="s">
        <v>29</v>
      </c>
      <c r="B33">
        <v>2008</v>
      </c>
      <c r="C33">
        <v>411567.91666666698</v>
      </c>
      <c r="D33" s="5">
        <f t="shared" si="0"/>
        <v>-0.13734080293645465</v>
      </c>
      <c r="E33" s="9">
        <f>STDEV(D33:D41)</f>
        <v>0.11280239267937381</v>
      </c>
    </row>
    <row r="34" spans="1:5" x14ac:dyDescent="0.25">
      <c r="A34" t="s">
        <v>29</v>
      </c>
      <c r="B34">
        <v>2009</v>
      </c>
      <c r="C34">
        <v>339442.61666666699</v>
      </c>
      <c r="D34" s="5">
        <f t="shared" si="0"/>
        <v>-0.17524519545680475</v>
      </c>
    </row>
    <row r="35" spans="1:5" x14ac:dyDescent="0.25">
      <c r="A35" t="s">
        <v>29</v>
      </c>
      <c r="B35">
        <v>2010</v>
      </c>
      <c r="C35">
        <v>316004.91666666698</v>
      </c>
      <c r="D35" s="5">
        <f t="shared" si="0"/>
        <v>-6.9047605837353823E-2</v>
      </c>
    </row>
    <row r="36" spans="1:5" x14ac:dyDescent="0.25">
      <c r="A36" t="s">
        <v>29</v>
      </c>
      <c r="B36">
        <v>2011</v>
      </c>
      <c r="C36">
        <v>297851.48749999999</v>
      </c>
      <c r="D36" s="5">
        <f t="shared" si="0"/>
        <v>-5.7446666837199435E-2</v>
      </c>
    </row>
    <row r="37" spans="1:5" x14ac:dyDescent="0.25">
      <c r="A37" t="s">
        <v>29</v>
      </c>
      <c r="B37">
        <v>2012</v>
      </c>
      <c r="C37">
        <v>306770.85833333299</v>
      </c>
      <c r="D37" s="5">
        <f t="shared" si="0"/>
        <v>2.9945698469385686E-2</v>
      </c>
    </row>
    <row r="38" spans="1:5" x14ac:dyDescent="0.25">
      <c r="A38" t="s">
        <v>29</v>
      </c>
      <c r="B38">
        <v>2013</v>
      </c>
      <c r="C38">
        <v>363492.5</v>
      </c>
      <c r="D38" s="5">
        <f t="shared" si="0"/>
        <v>0.18489905454133476</v>
      </c>
    </row>
    <row r="39" spans="1:5" x14ac:dyDescent="0.25">
      <c r="A39" t="s">
        <v>29</v>
      </c>
      <c r="B39">
        <v>2014</v>
      </c>
      <c r="C39">
        <v>392487.5</v>
      </c>
      <c r="D39" s="5">
        <f t="shared" si="0"/>
        <v>7.9767808139095023E-2</v>
      </c>
    </row>
    <row r="40" spans="1:5" x14ac:dyDescent="0.25">
      <c r="A40" t="s">
        <v>29</v>
      </c>
      <c r="B40">
        <v>2015</v>
      </c>
      <c r="C40">
        <v>412591.66666666698</v>
      </c>
      <c r="D40" s="5">
        <f t="shared" si="0"/>
        <v>5.1222438081892994E-2</v>
      </c>
    </row>
    <row r="41" spans="1:5" x14ac:dyDescent="0.25">
      <c r="A41" t="s">
        <v>29</v>
      </c>
      <c r="B41">
        <v>2016</v>
      </c>
      <c r="C41">
        <v>422750</v>
      </c>
      <c r="D41" s="5">
        <f t="shared" si="0"/>
        <v>2.4620791339297565E-2</v>
      </c>
    </row>
    <row r="42" spans="1:5" x14ac:dyDescent="0.25">
      <c r="A42" t="s">
        <v>30</v>
      </c>
      <c r="B42">
        <v>2007</v>
      </c>
      <c r="C42">
        <v>240502.08333333299</v>
      </c>
      <c r="D42" s="5"/>
    </row>
    <row r="43" spans="1:5" x14ac:dyDescent="0.25">
      <c r="A43" t="s">
        <v>30</v>
      </c>
      <c r="B43">
        <v>2008</v>
      </c>
      <c r="C43">
        <v>235937.5</v>
      </c>
      <c r="D43" s="5">
        <f t="shared" si="0"/>
        <v>-1.8979392070406876E-2</v>
      </c>
      <c r="E43" s="9">
        <f>STDEV(D43:D51)</f>
        <v>5.125249393521402E-2</v>
      </c>
    </row>
    <row r="44" spans="1:5" x14ac:dyDescent="0.25">
      <c r="A44" t="s">
        <v>30</v>
      </c>
      <c r="B44">
        <v>2009</v>
      </c>
      <c r="C44">
        <v>217087.5</v>
      </c>
      <c r="D44" s="5">
        <f t="shared" si="0"/>
        <v>-7.9894039735099343E-2</v>
      </c>
    </row>
    <row r="45" spans="1:5" x14ac:dyDescent="0.25">
      <c r="A45" t="s">
        <v>30</v>
      </c>
      <c r="B45">
        <v>2010</v>
      </c>
      <c r="C45">
        <v>222891.60416666701</v>
      </c>
      <c r="D45" s="5">
        <f t="shared" si="0"/>
        <v>2.6736243066353457E-2</v>
      </c>
    </row>
    <row r="46" spans="1:5" x14ac:dyDescent="0.25">
      <c r="A46" t="s">
        <v>30</v>
      </c>
      <c r="B46">
        <v>2011</v>
      </c>
      <c r="C46">
        <v>221681.79166666701</v>
      </c>
      <c r="D46" s="5">
        <f t="shared" si="0"/>
        <v>-5.4278065094608219E-3</v>
      </c>
    </row>
    <row r="47" spans="1:5" x14ac:dyDescent="0.25">
      <c r="A47" t="s">
        <v>30</v>
      </c>
      <c r="B47">
        <v>2012</v>
      </c>
      <c r="C47">
        <v>226915.875</v>
      </c>
      <c r="D47" s="5">
        <f t="shared" si="0"/>
        <v>2.3610794977709539E-2</v>
      </c>
    </row>
    <row r="48" spans="1:5" x14ac:dyDescent="0.25">
      <c r="A48" t="s">
        <v>30</v>
      </c>
      <c r="B48">
        <v>2013</v>
      </c>
      <c r="C48">
        <v>239238.33333333299</v>
      </c>
      <c r="D48" s="5">
        <f t="shared" si="0"/>
        <v>5.4304082221365048E-2</v>
      </c>
    </row>
    <row r="49" spans="1:5" x14ac:dyDescent="0.25">
      <c r="A49" t="s">
        <v>30</v>
      </c>
      <c r="B49">
        <v>2014</v>
      </c>
      <c r="C49">
        <v>251132.32916666701</v>
      </c>
      <c r="D49" s="5">
        <f t="shared" si="0"/>
        <v>4.971609552538557E-2</v>
      </c>
    </row>
    <row r="50" spans="1:5" x14ac:dyDescent="0.25">
      <c r="A50" t="s">
        <v>30</v>
      </c>
      <c r="B50">
        <v>2015</v>
      </c>
      <c r="C50">
        <v>274308.33333333302</v>
      </c>
      <c r="D50" s="5">
        <f t="shared" si="0"/>
        <v>9.2286024039879691E-2</v>
      </c>
    </row>
    <row r="51" spans="1:5" x14ac:dyDescent="0.25">
      <c r="A51" t="s">
        <v>30</v>
      </c>
      <c r="B51">
        <v>2016</v>
      </c>
      <c r="C51">
        <v>290700</v>
      </c>
      <c r="D51" s="5">
        <f t="shared" si="0"/>
        <v>5.9756356897652865E-2</v>
      </c>
    </row>
    <row r="52" spans="1:5" x14ac:dyDescent="0.25">
      <c r="A52" t="s">
        <v>31</v>
      </c>
      <c r="B52">
        <v>2007</v>
      </c>
      <c r="C52">
        <v>265262.5</v>
      </c>
      <c r="D52" s="5"/>
    </row>
    <row r="53" spans="1:5" x14ac:dyDescent="0.25">
      <c r="A53" t="s">
        <v>31</v>
      </c>
      <c r="B53">
        <v>2008</v>
      </c>
      <c r="C53">
        <v>256554.16666666701</v>
      </c>
      <c r="D53" s="5">
        <f t="shared" si="0"/>
        <v>-3.2829115812951296E-2</v>
      </c>
      <c r="E53" s="9">
        <f>STDEV(D53:D61)</f>
        <v>3.2964973564939819E-2</v>
      </c>
    </row>
    <row r="54" spans="1:5" x14ac:dyDescent="0.25">
      <c r="A54" t="s">
        <v>31</v>
      </c>
      <c r="B54">
        <v>2009</v>
      </c>
      <c r="C54">
        <v>238389.58333333299</v>
      </c>
      <c r="D54" s="5">
        <f t="shared" si="0"/>
        <v>-7.0802137300442686E-2</v>
      </c>
    </row>
    <row r="55" spans="1:5" x14ac:dyDescent="0.25">
      <c r="A55" t="s">
        <v>31</v>
      </c>
      <c r="B55">
        <v>2010</v>
      </c>
      <c r="C55">
        <v>248518.75</v>
      </c>
      <c r="D55" s="5">
        <f t="shared" si="0"/>
        <v>4.2489971772397862E-2</v>
      </c>
    </row>
    <row r="56" spans="1:5" x14ac:dyDescent="0.25">
      <c r="A56" t="s">
        <v>31</v>
      </c>
      <c r="B56">
        <v>2011</v>
      </c>
      <c r="C56">
        <v>243182.20833333299</v>
      </c>
      <c r="D56" s="5">
        <f t="shared" si="0"/>
        <v>-2.1473396541174482E-2</v>
      </c>
    </row>
    <row r="57" spans="1:5" x14ac:dyDescent="0.25">
      <c r="A57" t="s">
        <v>31</v>
      </c>
      <c r="B57">
        <v>2012</v>
      </c>
      <c r="C57">
        <v>238814.79166666701</v>
      </c>
      <c r="D57" s="5">
        <f t="shared" si="0"/>
        <v>-1.7959441591547328E-2</v>
      </c>
    </row>
    <row r="58" spans="1:5" x14ac:dyDescent="0.25">
      <c r="A58" t="s">
        <v>31</v>
      </c>
      <c r="B58">
        <v>2013</v>
      </c>
      <c r="C58">
        <v>242750.129166667</v>
      </c>
      <c r="D58" s="5">
        <f t="shared" si="0"/>
        <v>1.6478617059419255E-2</v>
      </c>
    </row>
    <row r="59" spans="1:5" x14ac:dyDescent="0.25">
      <c r="A59" t="s">
        <v>31</v>
      </c>
      <c r="B59">
        <v>2014</v>
      </c>
      <c r="C59">
        <v>245792.91666666701</v>
      </c>
      <c r="D59" s="5">
        <f t="shared" si="0"/>
        <v>1.2534648325195715E-2</v>
      </c>
    </row>
    <row r="60" spans="1:5" x14ac:dyDescent="0.25">
      <c r="A60" t="s">
        <v>31</v>
      </c>
      <c r="B60">
        <v>2015</v>
      </c>
      <c r="C60">
        <v>244917.5</v>
      </c>
      <c r="D60" s="5">
        <f t="shared" si="0"/>
        <v>-3.5616025007514998E-3</v>
      </c>
    </row>
    <row r="61" spans="1:5" x14ac:dyDescent="0.25">
      <c r="A61" t="s">
        <v>31</v>
      </c>
      <c r="B61">
        <v>2016</v>
      </c>
      <c r="C61">
        <v>238287.5</v>
      </c>
      <c r="D61" s="5">
        <f t="shared" si="0"/>
        <v>-2.7070340012453172E-2</v>
      </c>
    </row>
    <row r="62" spans="1:5" x14ac:dyDescent="0.25">
      <c r="A62" t="s">
        <v>32</v>
      </c>
      <c r="B62">
        <v>2007</v>
      </c>
      <c r="C62">
        <v>231448.870833333</v>
      </c>
      <c r="D62" s="5"/>
    </row>
    <row r="63" spans="1:5" x14ac:dyDescent="0.25">
      <c r="A63" t="s">
        <v>32</v>
      </c>
      <c r="B63">
        <v>2008</v>
      </c>
      <c r="C63">
        <v>223271.33749999999</v>
      </c>
      <c r="D63" s="5">
        <f t="shared" si="0"/>
        <v>-3.5331921490434362E-2</v>
      </c>
      <c r="E63" s="9">
        <f>STDEV(D63:D71)</f>
        <v>6.4882691053818109E-2</v>
      </c>
    </row>
    <row r="64" spans="1:5" x14ac:dyDescent="0.25">
      <c r="A64" t="s">
        <v>32</v>
      </c>
      <c r="B64">
        <v>2009</v>
      </c>
      <c r="C64">
        <v>210489.58333333299</v>
      </c>
      <c r="D64" s="5">
        <f t="shared" si="0"/>
        <v>-5.7247626631282224E-2</v>
      </c>
    </row>
    <row r="65" spans="1:5" x14ac:dyDescent="0.25">
      <c r="A65" t="s">
        <v>32</v>
      </c>
      <c r="B65">
        <v>2010</v>
      </c>
      <c r="C65">
        <v>209612.5</v>
      </c>
      <c r="D65" s="5">
        <f t="shared" si="0"/>
        <v>-4.166872865836964E-3</v>
      </c>
    </row>
    <row r="66" spans="1:5" x14ac:dyDescent="0.25">
      <c r="A66" t="s">
        <v>32</v>
      </c>
      <c r="B66">
        <v>2011</v>
      </c>
      <c r="C66">
        <v>200871.8</v>
      </c>
      <c r="D66" s="5">
        <f t="shared" si="0"/>
        <v>-4.1699326137515709E-2</v>
      </c>
    </row>
    <row r="67" spans="1:5" x14ac:dyDescent="0.25">
      <c r="A67" t="s">
        <v>32</v>
      </c>
      <c r="B67">
        <v>2012</v>
      </c>
      <c r="C67">
        <v>191897.91666666701</v>
      </c>
      <c r="D67" s="5">
        <f t="shared" si="0"/>
        <v>-4.4674679737688329E-2</v>
      </c>
    </row>
    <row r="68" spans="1:5" x14ac:dyDescent="0.25">
      <c r="A68" t="s">
        <v>32</v>
      </c>
      <c r="B68">
        <v>2013</v>
      </c>
      <c r="C68">
        <v>196594.36666666699</v>
      </c>
      <c r="D68" s="5">
        <f t="shared" ref="D68:D131" si="1">(C68-C67)/C67</f>
        <v>2.4473689353063016E-2</v>
      </c>
    </row>
    <row r="69" spans="1:5" x14ac:dyDescent="0.25">
      <c r="A69" t="s">
        <v>32</v>
      </c>
      <c r="B69">
        <v>2014</v>
      </c>
      <c r="C69">
        <v>218543.370833333</v>
      </c>
      <c r="D69" s="5">
        <f t="shared" si="1"/>
        <v>0.11164615008466321</v>
      </c>
    </row>
    <row r="70" spans="1:5" x14ac:dyDescent="0.25">
      <c r="A70" t="s">
        <v>32</v>
      </c>
      <c r="B70">
        <v>2015</v>
      </c>
      <c r="C70">
        <v>234668.83333333299</v>
      </c>
      <c r="D70" s="5">
        <f t="shared" si="1"/>
        <v>7.3786097645110918E-2</v>
      </c>
    </row>
    <row r="71" spans="1:5" x14ac:dyDescent="0.25">
      <c r="A71" t="s">
        <v>32</v>
      </c>
      <c r="B71">
        <v>2016</v>
      </c>
      <c r="C71">
        <v>214656.66666666701</v>
      </c>
      <c r="D71" s="5">
        <f t="shared" si="1"/>
        <v>-8.5278331947216471E-2</v>
      </c>
    </row>
    <row r="72" spans="1:5" x14ac:dyDescent="0.25">
      <c r="A72" t="s">
        <v>33</v>
      </c>
      <c r="B72">
        <v>2007</v>
      </c>
      <c r="C72">
        <v>380516.66666666698</v>
      </c>
      <c r="D72" s="5"/>
    </row>
    <row r="73" spans="1:5" x14ac:dyDescent="0.25">
      <c r="A73" t="s">
        <v>33</v>
      </c>
      <c r="B73">
        <v>2008</v>
      </c>
      <c r="C73">
        <v>374954.08333333302</v>
      </c>
      <c r="D73" s="5">
        <f t="shared" si="1"/>
        <v>-1.4618501160704173E-2</v>
      </c>
      <c r="E73" s="9">
        <f>STDEV(D73:D81)</f>
        <v>3.0796614885042782E-2</v>
      </c>
    </row>
    <row r="74" spans="1:5" x14ac:dyDescent="0.25">
      <c r="A74" t="s">
        <v>33</v>
      </c>
      <c r="B74">
        <v>2009</v>
      </c>
      <c r="C74">
        <v>397247.875</v>
      </c>
      <c r="D74" s="5">
        <f t="shared" si="1"/>
        <v>5.9457391338362531E-2</v>
      </c>
    </row>
    <row r="75" spans="1:5" x14ac:dyDescent="0.25">
      <c r="A75" t="s">
        <v>33</v>
      </c>
      <c r="B75">
        <v>2010</v>
      </c>
      <c r="C75">
        <v>411180.754166667</v>
      </c>
      <c r="D75" s="5">
        <f t="shared" si="1"/>
        <v>3.5073514657987789E-2</v>
      </c>
    </row>
    <row r="76" spans="1:5" x14ac:dyDescent="0.25">
      <c r="A76" t="s">
        <v>33</v>
      </c>
      <c r="B76">
        <v>2011</v>
      </c>
      <c r="C76">
        <v>428045.75</v>
      </c>
      <c r="D76" s="5">
        <f t="shared" si="1"/>
        <v>4.1016014641816097E-2</v>
      </c>
    </row>
    <row r="77" spans="1:5" x14ac:dyDescent="0.25">
      <c r="A77" t="s">
        <v>33</v>
      </c>
      <c r="B77">
        <v>2012</v>
      </c>
      <c r="C77">
        <v>430413.45833333302</v>
      </c>
      <c r="D77" s="5">
        <f t="shared" si="1"/>
        <v>5.5314375468814327E-3</v>
      </c>
    </row>
    <row r="78" spans="1:5" x14ac:dyDescent="0.25">
      <c r="A78" t="s">
        <v>33</v>
      </c>
      <c r="B78">
        <v>2013</v>
      </c>
      <c r="C78">
        <v>469769.30416666699</v>
      </c>
      <c r="D78" s="5">
        <f t="shared" si="1"/>
        <v>9.1437303066055367E-2</v>
      </c>
    </row>
    <row r="79" spans="1:5" x14ac:dyDescent="0.25">
      <c r="A79" t="s">
        <v>33</v>
      </c>
      <c r="B79">
        <v>2014</v>
      </c>
      <c r="C79">
        <v>489040.4375</v>
      </c>
      <c r="D79" s="5">
        <f t="shared" si="1"/>
        <v>4.1022546944650747E-2</v>
      </c>
    </row>
    <row r="80" spans="1:5" x14ac:dyDescent="0.25">
      <c r="A80" t="s">
        <v>33</v>
      </c>
      <c r="B80">
        <v>2015</v>
      </c>
      <c r="C80">
        <v>512759.16666666698</v>
      </c>
      <c r="D80" s="5">
        <f t="shared" si="1"/>
        <v>4.8500547905441824E-2</v>
      </c>
    </row>
    <row r="81" spans="1:5" x14ac:dyDescent="0.25">
      <c r="A81" t="s">
        <v>33</v>
      </c>
      <c r="B81">
        <v>2016</v>
      </c>
      <c r="C81">
        <v>522841.66666666698</v>
      </c>
      <c r="D81" s="5">
        <f t="shared" si="1"/>
        <v>1.9663227213555411E-2</v>
      </c>
    </row>
    <row r="82" spans="1:5" x14ac:dyDescent="0.25">
      <c r="A82" t="s">
        <v>34</v>
      </c>
      <c r="B82">
        <v>2007</v>
      </c>
      <c r="C82">
        <v>232945.16666666701</v>
      </c>
      <c r="D82" s="5"/>
    </row>
    <row r="83" spans="1:5" x14ac:dyDescent="0.25">
      <c r="A83" t="s">
        <v>34</v>
      </c>
      <c r="B83">
        <v>2008</v>
      </c>
      <c r="C83">
        <v>205895.83333333299</v>
      </c>
      <c r="D83" s="5">
        <f t="shared" si="1"/>
        <v>-0.11611888634736203</v>
      </c>
      <c r="E83" s="9">
        <f>STDEV(D83:D91)</f>
        <v>0.11917561969174371</v>
      </c>
    </row>
    <row r="84" spans="1:5" x14ac:dyDescent="0.25">
      <c r="A84" t="s">
        <v>34</v>
      </c>
      <c r="B84">
        <v>2009</v>
      </c>
      <c r="C84">
        <v>163033.26666666701</v>
      </c>
      <c r="D84" s="5">
        <f t="shared" si="1"/>
        <v>-0.208175978953756</v>
      </c>
    </row>
    <row r="85" spans="1:5" x14ac:dyDescent="0.25">
      <c r="A85" t="s">
        <v>34</v>
      </c>
      <c r="B85">
        <v>2010</v>
      </c>
      <c r="C85">
        <v>143458.75</v>
      </c>
      <c r="D85" s="5">
        <f t="shared" si="1"/>
        <v>-0.12006455533206292</v>
      </c>
    </row>
    <row r="86" spans="1:5" x14ac:dyDescent="0.25">
      <c r="A86" t="s">
        <v>34</v>
      </c>
      <c r="B86">
        <v>2011</v>
      </c>
      <c r="C86">
        <v>133052.91666666701</v>
      </c>
      <c r="D86" s="5">
        <f t="shared" si="1"/>
        <v>-7.2535368761633523E-2</v>
      </c>
    </row>
    <row r="87" spans="1:5" x14ac:dyDescent="0.25">
      <c r="A87" t="s">
        <v>34</v>
      </c>
      <c r="B87">
        <v>2012</v>
      </c>
      <c r="C87">
        <v>138160</v>
      </c>
      <c r="D87" s="5">
        <f t="shared" si="1"/>
        <v>3.8383851036708931E-2</v>
      </c>
    </row>
    <row r="88" spans="1:5" x14ac:dyDescent="0.25">
      <c r="A88" t="s">
        <v>34</v>
      </c>
      <c r="B88">
        <v>2013</v>
      </c>
      <c r="C88">
        <v>157657.5</v>
      </c>
      <c r="D88" s="5">
        <f t="shared" si="1"/>
        <v>0.14112261146496816</v>
      </c>
    </row>
    <row r="89" spans="1:5" x14ac:dyDescent="0.25">
      <c r="A89" t="s">
        <v>34</v>
      </c>
      <c r="B89">
        <v>2014</v>
      </c>
      <c r="C89">
        <v>174920.41666666701</v>
      </c>
      <c r="D89" s="5">
        <f t="shared" si="1"/>
        <v>0.10949632378204022</v>
      </c>
    </row>
    <row r="90" spans="1:5" x14ac:dyDescent="0.25">
      <c r="A90" t="s">
        <v>34</v>
      </c>
      <c r="B90">
        <v>2015</v>
      </c>
      <c r="C90">
        <v>186333.33333333299</v>
      </c>
      <c r="D90" s="5">
        <f t="shared" si="1"/>
        <v>6.5246338215708369E-2</v>
      </c>
    </row>
    <row r="91" spans="1:5" x14ac:dyDescent="0.25">
      <c r="A91" t="s">
        <v>34</v>
      </c>
      <c r="B91">
        <v>2016</v>
      </c>
      <c r="C91">
        <v>192995.83333333299</v>
      </c>
      <c r="D91" s="5">
        <f t="shared" si="1"/>
        <v>3.5755813953488438E-2</v>
      </c>
    </row>
    <row r="92" spans="1:5" x14ac:dyDescent="0.25">
      <c r="A92" t="s">
        <v>35</v>
      </c>
      <c r="B92">
        <v>2007</v>
      </c>
      <c r="C92">
        <v>177985.04166666701</v>
      </c>
      <c r="D92" s="5"/>
    </row>
    <row r="93" spans="1:5" x14ac:dyDescent="0.25">
      <c r="A93" t="s">
        <v>35</v>
      </c>
      <c r="B93">
        <v>2008</v>
      </c>
      <c r="C93">
        <v>173236.97916666701</v>
      </c>
      <c r="D93" s="5">
        <f t="shared" si="1"/>
        <v>-2.6676750223157748E-2</v>
      </c>
      <c r="E93" s="9">
        <f>STDEV(D93:D101)</f>
        <v>8.7274363490969092E-2</v>
      </c>
    </row>
    <row r="94" spans="1:5" x14ac:dyDescent="0.25">
      <c r="A94" t="s">
        <v>35</v>
      </c>
      <c r="B94">
        <v>2009</v>
      </c>
      <c r="C94">
        <v>154610.316666667</v>
      </c>
      <c r="D94" s="5">
        <f t="shared" si="1"/>
        <v>-0.10752128436781246</v>
      </c>
    </row>
    <row r="95" spans="1:5" x14ac:dyDescent="0.25">
      <c r="A95" t="s">
        <v>35</v>
      </c>
      <c r="B95">
        <v>2010</v>
      </c>
      <c r="C95">
        <v>140542.25</v>
      </c>
      <c r="D95" s="5">
        <f t="shared" si="1"/>
        <v>-9.0990478319743245E-2</v>
      </c>
    </row>
    <row r="96" spans="1:5" x14ac:dyDescent="0.25">
      <c r="A96" t="s">
        <v>35</v>
      </c>
      <c r="B96">
        <v>2011</v>
      </c>
      <c r="C96">
        <v>128983.704166667</v>
      </c>
      <c r="D96" s="5">
        <f t="shared" si="1"/>
        <v>-8.2242498845244066E-2</v>
      </c>
    </row>
    <row r="97" spans="1:5" x14ac:dyDescent="0.25">
      <c r="A97" t="s">
        <v>35</v>
      </c>
      <c r="B97">
        <v>2012</v>
      </c>
      <c r="C97">
        <v>130909.79166666701</v>
      </c>
      <c r="D97" s="5">
        <f t="shared" si="1"/>
        <v>1.4932797227711838E-2</v>
      </c>
    </row>
    <row r="98" spans="1:5" x14ac:dyDescent="0.25">
      <c r="A98" t="s">
        <v>35</v>
      </c>
      <c r="B98">
        <v>2013</v>
      </c>
      <c r="C98">
        <v>152465.5</v>
      </c>
      <c r="D98" s="5">
        <f t="shared" si="1"/>
        <v>0.16466077944894958</v>
      </c>
    </row>
    <row r="99" spans="1:5" x14ac:dyDescent="0.25">
      <c r="A99" t="s">
        <v>35</v>
      </c>
      <c r="B99">
        <v>2014</v>
      </c>
      <c r="C99">
        <v>162088.75</v>
      </c>
      <c r="D99" s="5">
        <f t="shared" si="1"/>
        <v>6.3117557742571273E-2</v>
      </c>
    </row>
    <row r="100" spans="1:5" x14ac:dyDescent="0.25">
      <c r="A100" t="s">
        <v>35</v>
      </c>
      <c r="B100">
        <v>2015</v>
      </c>
      <c r="C100">
        <v>169816.66666666701</v>
      </c>
      <c r="D100" s="5">
        <f t="shared" si="1"/>
        <v>4.7677069917973991E-2</v>
      </c>
    </row>
    <row r="101" spans="1:5" x14ac:dyDescent="0.25">
      <c r="A101" t="s">
        <v>35</v>
      </c>
      <c r="B101">
        <v>2016</v>
      </c>
      <c r="C101">
        <v>170875</v>
      </c>
      <c r="D101" s="5">
        <f t="shared" si="1"/>
        <v>6.232211208163657E-3</v>
      </c>
    </row>
    <row r="102" spans="1:5" x14ac:dyDescent="0.25">
      <c r="A102" t="s">
        <v>36</v>
      </c>
      <c r="B102">
        <v>2007</v>
      </c>
      <c r="C102">
        <v>430654.08333333302</v>
      </c>
      <c r="D102" s="5"/>
    </row>
    <row r="103" spans="1:5" x14ac:dyDescent="0.25">
      <c r="A103" t="s">
        <v>36</v>
      </c>
      <c r="B103">
        <v>2008</v>
      </c>
      <c r="C103">
        <v>402212.08333333302</v>
      </c>
      <c r="D103" s="5">
        <f t="shared" si="1"/>
        <v>-6.6043725348786358E-2</v>
      </c>
      <c r="E103" s="9">
        <f>STDEV(D103:D111)</f>
        <v>4.8165814653548869E-2</v>
      </c>
    </row>
    <row r="104" spans="1:5" x14ac:dyDescent="0.25">
      <c r="A104" t="s">
        <v>36</v>
      </c>
      <c r="B104">
        <v>2009</v>
      </c>
      <c r="C104">
        <v>390636.82500000001</v>
      </c>
      <c r="D104" s="5">
        <f t="shared" si="1"/>
        <v>-2.8778992011883497E-2</v>
      </c>
    </row>
    <row r="105" spans="1:5" x14ac:dyDescent="0.25">
      <c r="A105" t="s">
        <v>36</v>
      </c>
      <c r="B105">
        <v>2010</v>
      </c>
      <c r="C105">
        <v>396183.33333333302</v>
      </c>
      <c r="D105" s="5">
        <f t="shared" si="1"/>
        <v>1.4198631512359366E-2</v>
      </c>
    </row>
    <row r="106" spans="1:5" x14ac:dyDescent="0.25">
      <c r="A106" t="s">
        <v>36</v>
      </c>
      <c r="B106">
        <v>2011</v>
      </c>
      <c r="C106">
        <v>391476.14583333302</v>
      </c>
      <c r="D106" s="5">
        <f t="shared" si="1"/>
        <v>-1.1881336502460991E-2</v>
      </c>
    </row>
    <row r="107" spans="1:5" x14ac:dyDescent="0.25">
      <c r="A107" t="s">
        <v>36</v>
      </c>
      <c r="B107">
        <v>2012</v>
      </c>
      <c r="C107">
        <v>385693.125</v>
      </c>
      <c r="D107" s="5">
        <f t="shared" si="1"/>
        <v>-1.4772345377577833E-2</v>
      </c>
    </row>
    <row r="108" spans="1:5" x14ac:dyDescent="0.25">
      <c r="A108" t="s">
        <v>36</v>
      </c>
      <c r="B108">
        <v>2013</v>
      </c>
      <c r="C108">
        <v>407261.27500000002</v>
      </c>
      <c r="D108" s="5">
        <f t="shared" si="1"/>
        <v>5.5920493786348988E-2</v>
      </c>
    </row>
    <row r="109" spans="1:5" x14ac:dyDescent="0.25">
      <c r="A109" t="s">
        <v>36</v>
      </c>
      <c r="B109">
        <v>2014</v>
      </c>
      <c r="C109">
        <v>441281.42916666699</v>
      </c>
      <c r="D109" s="5">
        <f t="shared" si="1"/>
        <v>8.3533977461193593E-2</v>
      </c>
    </row>
    <row r="110" spans="1:5" x14ac:dyDescent="0.25">
      <c r="A110" t="s">
        <v>36</v>
      </c>
      <c r="B110">
        <v>2015</v>
      </c>
      <c r="C110">
        <v>460940.25</v>
      </c>
      <c r="D110" s="5">
        <f t="shared" si="1"/>
        <v>4.4549395315496267E-2</v>
      </c>
    </row>
    <row r="111" spans="1:5" x14ac:dyDescent="0.25">
      <c r="A111" t="s">
        <v>36</v>
      </c>
      <c r="B111">
        <v>2016</v>
      </c>
      <c r="C111">
        <v>484008.33333333302</v>
      </c>
      <c r="D111" s="5">
        <f t="shared" si="1"/>
        <v>5.0045712721622865E-2</v>
      </c>
    </row>
    <row r="112" spans="1:5" x14ac:dyDescent="0.25">
      <c r="A112" t="s">
        <v>38</v>
      </c>
      <c r="B112">
        <v>2007</v>
      </c>
      <c r="C112">
        <v>219231.25</v>
      </c>
      <c r="D112" s="5"/>
    </row>
    <row r="113" spans="1:5" x14ac:dyDescent="0.25">
      <c r="A113" t="s">
        <v>38</v>
      </c>
      <c r="B113">
        <v>2008</v>
      </c>
      <c r="C113">
        <v>210118.33333333299</v>
      </c>
      <c r="D113" s="5">
        <f t="shared" si="1"/>
        <v>-4.1567598901465948E-2</v>
      </c>
      <c r="E113" s="9">
        <f>STDEV(D113:D121)</f>
        <v>7.1291972328439951E-2</v>
      </c>
    </row>
    <row r="114" spans="1:5" x14ac:dyDescent="0.25">
      <c r="A114" t="s">
        <v>38</v>
      </c>
      <c r="B114">
        <v>2009</v>
      </c>
      <c r="C114">
        <v>183970.41666666701</v>
      </c>
      <c r="D114" s="5">
        <f t="shared" si="1"/>
        <v>-0.12444376581449833</v>
      </c>
    </row>
    <row r="115" spans="1:5" x14ac:dyDescent="0.25">
      <c r="A115" t="s">
        <v>38</v>
      </c>
      <c r="B115">
        <v>2010</v>
      </c>
      <c r="C115">
        <v>178717.70833333299</v>
      </c>
      <c r="D115" s="5">
        <f t="shared" si="1"/>
        <v>-2.8551918447036563E-2</v>
      </c>
    </row>
    <row r="116" spans="1:5" x14ac:dyDescent="0.25">
      <c r="A116" t="s">
        <v>38</v>
      </c>
      <c r="B116">
        <v>2011</v>
      </c>
      <c r="C116">
        <v>163789.58333333299</v>
      </c>
      <c r="D116" s="5">
        <f t="shared" si="1"/>
        <v>-8.352907576543564E-2</v>
      </c>
    </row>
    <row r="117" spans="1:5" x14ac:dyDescent="0.25">
      <c r="A117" t="s">
        <v>38</v>
      </c>
      <c r="B117">
        <v>2012</v>
      </c>
      <c r="C117">
        <v>151192.5</v>
      </c>
      <c r="D117" s="5">
        <f t="shared" si="1"/>
        <v>-7.6910161665753179E-2</v>
      </c>
    </row>
    <row r="118" spans="1:5" x14ac:dyDescent="0.25">
      <c r="A118" t="s">
        <v>38</v>
      </c>
      <c r="B118">
        <v>2013</v>
      </c>
      <c r="C118">
        <v>160491.66666666701</v>
      </c>
      <c r="D118" s="5">
        <f t="shared" si="1"/>
        <v>6.1505475910954621E-2</v>
      </c>
    </row>
    <row r="119" spans="1:5" x14ac:dyDescent="0.25">
      <c r="A119" t="s">
        <v>38</v>
      </c>
      <c r="B119">
        <v>2014</v>
      </c>
      <c r="C119">
        <v>171793.75</v>
      </c>
      <c r="D119" s="5">
        <f t="shared" si="1"/>
        <v>7.0421621060281242E-2</v>
      </c>
    </row>
    <row r="120" spans="1:5" x14ac:dyDescent="0.25">
      <c r="A120" t="s">
        <v>38</v>
      </c>
      <c r="B120">
        <v>2015</v>
      </c>
      <c r="C120">
        <v>180889.58333333299</v>
      </c>
      <c r="D120" s="5">
        <f t="shared" si="1"/>
        <v>5.2946241253439046E-2</v>
      </c>
    </row>
    <row r="121" spans="1:5" x14ac:dyDescent="0.25">
      <c r="A121" t="s">
        <v>38</v>
      </c>
      <c r="B121">
        <v>2016</v>
      </c>
      <c r="C121">
        <v>185208.33333333299</v>
      </c>
      <c r="D121" s="5">
        <f t="shared" si="1"/>
        <v>2.3875061904707107E-2</v>
      </c>
    </row>
    <row r="122" spans="1:5" x14ac:dyDescent="0.25">
      <c r="A122" t="s">
        <v>40</v>
      </c>
      <c r="B122">
        <v>2007</v>
      </c>
      <c r="C122">
        <v>142383.72916666701</v>
      </c>
      <c r="D122" s="5"/>
    </row>
    <row r="123" spans="1:5" x14ac:dyDescent="0.25">
      <c r="A123" t="s">
        <v>40</v>
      </c>
      <c r="B123">
        <v>2008</v>
      </c>
      <c r="C123">
        <v>142625.4375</v>
      </c>
      <c r="D123" s="5">
        <f t="shared" si="1"/>
        <v>1.6975839497086254E-3</v>
      </c>
      <c r="E123" s="9">
        <f>STDEV(D123:D131)</f>
        <v>5.5158174302814132E-2</v>
      </c>
    </row>
    <row r="124" spans="1:5" x14ac:dyDescent="0.25">
      <c r="A124" t="s">
        <v>40</v>
      </c>
      <c r="B124">
        <v>2009</v>
      </c>
      <c r="C124">
        <v>135232.5</v>
      </c>
      <c r="D124" s="5">
        <f t="shared" si="1"/>
        <v>-5.1834635038367542E-2</v>
      </c>
    </row>
    <row r="125" spans="1:5" x14ac:dyDescent="0.25">
      <c r="A125" t="s">
        <v>40</v>
      </c>
      <c r="B125">
        <v>2010</v>
      </c>
      <c r="C125">
        <v>137674.58333333299</v>
      </c>
      <c r="D125" s="5">
        <f t="shared" si="1"/>
        <v>1.8058405585439846E-2</v>
      </c>
    </row>
    <row r="126" spans="1:5" x14ac:dyDescent="0.25">
      <c r="A126" t="s">
        <v>40</v>
      </c>
      <c r="B126">
        <v>2011</v>
      </c>
      <c r="C126">
        <v>134077.08333333299</v>
      </c>
      <c r="D126" s="5">
        <f t="shared" si="1"/>
        <v>-2.6130458599535805E-2</v>
      </c>
    </row>
    <row r="127" spans="1:5" x14ac:dyDescent="0.25">
      <c r="A127" t="s">
        <v>40</v>
      </c>
      <c r="B127">
        <v>2012</v>
      </c>
      <c r="C127">
        <v>130584.58333333299</v>
      </c>
      <c r="D127" s="5">
        <f t="shared" si="1"/>
        <v>-2.6048448498220928E-2</v>
      </c>
    </row>
    <row r="128" spans="1:5" x14ac:dyDescent="0.25">
      <c r="A128" t="s">
        <v>40</v>
      </c>
      <c r="B128">
        <v>2013</v>
      </c>
      <c r="C128">
        <v>134130.72916666701</v>
      </c>
      <c r="D128" s="5">
        <f t="shared" si="1"/>
        <v>2.7155930224029928E-2</v>
      </c>
    </row>
    <row r="129" spans="1:5" x14ac:dyDescent="0.25">
      <c r="A129" t="s">
        <v>40</v>
      </c>
      <c r="B129">
        <v>2014</v>
      </c>
      <c r="C129">
        <v>132773.64583333299</v>
      </c>
      <c r="D129" s="5">
        <f t="shared" si="1"/>
        <v>-1.0117616908260742E-2</v>
      </c>
    </row>
    <row r="130" spans="1:5" x14ac:dyDescent="0.25">
      <c r="A130" t="s">
        <v>40</v>
      </c>
      <c r="B130">
        <v>2015</v>
      </c>
      <c r="C130">
        <v>135631.818181818</v>
      </c>
      <c r="D130" s="5">
        <f t="shared" si="1"/>
        <v>2.152665410779479E-2</v>
      </c>
    </row>
    <row r="131" spans="1:5" x14ac:dyDescent="0.25">
      <c r="A131" t="s">
        <v>40</v>
      </c>
      <c r="B131">
        <v>2016</v>
      </c>
      <c r="C131">
        <v>154645</v>
      </c>
      <c r="D131" s="5">
        <f t="shared" si="1"/>
        <v>0.14018231173967108</v>
      </c>
    </row>
    <row r="132" spans="1:5" x14ac:dyDescent="0.25">
      <c r="A132" t="s">
        <v>42</v>
      </c>
      <c r="B132">
        <v>2007</v>
      </c>
      <c r="C132">
        <v>134597.91666666701</v>
      </c>
      <c r="D132" s="5"/>
    </row>
    <row r="133" spans="1:5" x14ac:dyDescent="0.25">
      <c r="A133" t="s">
        <v>42</v>
      </c>
      <c r="B133">
        <v>2008</v>
      </c>
      <c r="C133">
        <v>135387.91666666701</v>
      </c>
      <c r="D133" s="5">
        <f t="shared" ref="D132:D195" si="2">(C133-C132)/C132</f>
        <v>5.8693330444069382E-3</v>
      </c>
      <c r="E133" s="9">
        <f>STDEV(D133:D141)</f>
        <v>4.9418163468069681E-2</v>
      </c>
    </row>
    <row r="134" spans="1:5" x14ac:dyDescent="0.25">
      <c r="A134" t="s">
        <v>42</v>
      </c>
      <c r="B134">
        <v>2009</v>
      </c>
      <c r="C134">
        <v>127664.16666666701</v>
      </c>
      <c r="D134" s="5">
        <f t="shared" si="2"/>
        <v>-5.7049035025897664E-2</v>
      </c>
    </row>
    <row r="135" spans="1:5" x14ac:dyDescent="0.25">
      <c r="A135" t="s">
        <v>42</v>
      </c>
      <c r="B135">
        <v>2010</v>
      </c>
      <c r="C135">
        <v>132660.70833333299</v>
      </c>
      <c r="D135" s="5">
        <f t="shared" si="2"/>
        <v>3.9138168501988743E-2</v>
      </c>
    </row>
    <row r="136" spans="1:5" x14ac:dyDescent="0.25">
      <c r="A136" t="s">
        <v>42</v>
      </c>
      <c r="B136">
        <v>2011</v>
      </c>
      <c r="C136">
        <v>124918.08333333299</v>
      </c>
      <c r="D136" s="5">
        <f t="shared" si="2"/>
        <v>-5.8364116227581982E-2</v>
      </c>
    </row>
    <row r="137" spans="1:5" x14ac:dyDescent="0.25">
      <c r="A137" t="s">
        <v>42</v>
      </c>
      <c r="B137">
        <v>2012</v>
      </c>
      <c r="C137">
        <v>122471.66666666701</v>
      </c>
      <c r="D137" s="5">
        <f t="shared" si="2"/>
        <v>-1.9584167491090449E-2</v>
      </c>
    </row>
    <row r="138" spans="1:5" x14ac:dyDescent="0.25">
      <c r="A138" t="s">
        <v>42</v>
      </c>
      <c r="B138">
        <v>2013</v>
      </c>
      <c r="C138">
        <v>132667.625</v>
      </c>
      <c r="D138" s="5">
        <f t="shared" si="2"/>
        <v>8.3251568389964739E-2</v>
      </c>
    </row>
    <row r="139" spans="1:5" x14ac:dyDescent="0.25">
      <c r="A139" t="s">
        <v>42</v>
      </c>
      <c r="B139">
        <v>2014</v>
      </c>
      <c r="C139">
        <v>135285.42083333299</v>
      </c>
      <c r="D139" s="5">
        <f t="shared" si="2"/>
        <v>1.9731986860645073E-2</v>
      </c>
    </row>
    <row r="140" spans="1:5" x14ac:dyDescent="0.25">
      <c r="A140" t="s">
        <v>42</v>
      </c>
      <c r="B140">
        <v>2015</v>
      </c>
      <c r="C140">
        <v>141705.41666666701</v>
      </c>
      <c r="D140" s="5">
        <f t="shared" si="2"/>
        <v>4.745519357361673E-2</v>
      </c>
    </row>
    <row r="141" spans="1:5" x14ac:dyDescent="0.25">
      <c r="A141" t="s">
        <v>42</v>
      </c>
      <c r="B141">
        <v>2016</v>
      </c>
      <c r="C141">
        <v>149172.5</v>
      </c>
      <c r="D141" s="5">
        <f t="shared" si="2"/>
        <v>5.2694410058422674E-2</v>
      </c>
    </row>
    <row r="142" spans="1:5" x14ac:dyDescent="0.25">
      <c r="A142" t="s">
        <v>43</v>
      </c>
      <c r="B142">
        <v>2007</v>
      </c>
      <c r="C142">
        <v>199202.91666666701</v>
      </c>
      <c r="D142" s="5"/>
    </row>
    <row r="143" spans="1:5" x14ac:dyDescent="0.25">
      <c r="A143" t="s">
        <v>43</v>
      </c>
      <c r="B143">
        <v>2008</v>
      </c>
      <c r="C143">
        <v>182908.33333333299</v>
      </c>
      <c r="D143" s="5">
        <f t="shared" si="2"/>
        <v>-8.1798919443535512E-2</v>
      </c>
      <c r="E143" s="9">
        <f>STDEV(D143:D151)</f>
        <v>0.46326200280915641</v>
      </c>
    </row>
    <row r="144" spans="1:5" x14ac:dyDescent="0.25">
      <c r="A144" t="s">
        <v>43</v>
      </c>
      <c r="B144">
        <v>2009</v>
      </c>
      <c r="C144">
        <v>142545.32083333301</v>
      </c>
      <c r="D144" s="5">
        <f t="shared" si="2"/>
        <v>-0.22067344753747356</v>
      </c>
    </row>
    <row r="145" spans="1:5" x14ac:dyDescent="0.25">
      <c r="A145" t="s">
        <v>43</v>
      </c>
      <c r="B145">
        <v>2010</v>
      </c>
      <c r="C145">
        <v>146113.75</v>
      </c>
      <c r="D145" s="5">
        <f t="shared" si="2"/>
        <v>2.5033646462792498E-2</v>
      </c>
    </row>
    <row r="146" spans="1:5" x14ac:dyDescent="0.25">
      <c r="A146" t="s">
        <v>43</v>
      </c>
      <c r="B146">
        <v>2011</v>
      </c>
      <c r="C146">
        <v>163204.58333333299</v>
      </c>
      <c r="D146" s="5">
        <f t="shared" si="2"/>
        <v>0.11696937032505834</v>
      </c>
    </row>
    <row r="147" spans="1:5" x14ac:dyDescent="0.25">
      <c r="A147" t="s">
        <v>43</v>
      </c>
      <c r="B147">
        <v>2012</v>
      </c>
      <c r="C147">
        <v>187439.38750000001</v>
      </c>
      <c r="D147" s="5">
        <f t="shared" si="2"/>
        <v>0.14849340423956886</v>
      </c>
    </row>
    <row r="148" spans="1:5" x14ac:dyDescent="0.25">
      <c r="A148" t="s">
        <v>43</v>
      </c>
      <c r="B148">
        <v>2013</v>
      </c>
      <c r="C148">
        <v>200362.33181818199</v>
      </c>
      <c r="D148" s="5">
        <f t="shared" si="2"/>
        <v>6.8944657206490179E-2</v>
      </c>
    </row>
    <row r="149" spans="1:5" x14ac:dyDescent="0.25">
      <c r="A149" t="s">
        <v>43</v>
      </c>
      <c r="B149">
        <v>2014</v>
      </c>
      <c r="C149">
        <v>113387.5</v>
      </c>
      <c r="D149" s="5">
        <f t="shared" si="2"/>
        <v>-0.43408774009032275</v>
      </c>
    </row>
    <row r="150" spans="1:5" x14ac:dyDescent="0.25">
      <c r="A150" t="s">
        <v>43</v>
      </c>
      <c r="B150">
        <v>2015</v>
      </c>
      <c r="C150">
        <v>97250.891399999993</v>
      </c>
      <c r="D150" s="5">
        <f t="shared" si="2"/>
        <v>-0.14231382295226552</v>
      </c>
    </row>
    <row r="151" spans="1:5" x14ac:dyDescent="0.25">
      <c r="A151" t="s">
        <v>43</v>
      </c>
      <c r="B151">
        <v>2016</v>
      </c>
      <c r="C151">
        <v>214950</v>
      </c>
      <c r="D151" s="5">
        <f t="shared" si="2"/>
        <v>1.2102625169356547</v>
      </c>
    </row>
    <row r="152" spans="1:5" x14ac:dyDescent="0.25">
      <c r="A152" t="s">
        <v>44</v>
      </c>
      <c r="B152">
        <v>2007</v>
      </c>
      <c r="C152">
        <v>308177.91666666698</v>
      </c>
      <c r="D152" s="5"/>
    </row>
    <row r="153" spans="1:5" x14ac:dyDescent="0.25">
      <c r="A153" t="s">
        <v>44</v>
      </c>
      <c r="B153">
        <v>2008</v>
      </c>
      <c r="C153">
        <v>291958.33333333302</v>
      </c>
      <c r="D153" s="5">
        <f t="shared" si="2"/>
        <v>-5.2630582712639547E-2</v>
      </c>
      <c r="E153" s="9">
        <f>STDEV(D153:D161)</f>
        <v>5.0219033730411283E-2</v>
      </c>
    </row>
    <row r="154" spans="1:5" x14ac:dyDescent="0.25">
      <c r="A154" t="s">
        <v>44</v>
      </c>
      <c r="B154">
        <v>2009</v>
      </c>
      <c r="C154">
        <v>272802.08333333302</v>
      </c>
      <c r="D154" s="5">
        <f t="shared" si="2"/>
        <v>-6.5612958470101401E-2</v>
      </c>
    </row>
    <row r="155" spans="1:5" x14ac:dyDescent="0.25">
      <c r="A155" t="s">
        <v>44</v>
      </c>
      <c r="B155">
        <v>2010</v>
      </c>
      <c r="C155">
        <v>279309.41666666698</v>
      </c>
      <c r="D155" s="5">
        <f t="shared" si="2"/>
        <v>2.3853679025547379E-2</v>
      </c>
    </row>
    <row r="156" spans="1:5" x14ac:dyDescent="0.25">
      <c r="A156" t="s">
        <v>44</v>
      </c>
      <c r="B156">
        <v>2011</v>
      </c>
      <c r="C156">
        <v>255642.90416666699</v>
      </c>
      <c r="D156" s="5">
        <f t="shared" si="2"/>
        <v>-8.4732239902401987E-2</v>
      </c>
    </row>
    <row r="157" spans="1:5" x14ac:dyDescent="0.25">
      <c r="A157" t="s">
        <v>44</v>
      </c>
      <c r="B157">
        <v>2012</v>
      </c>
      <c r="C157">
        <v>245484.58333333299</v>
      </c>
      <c r="D157" s="5">
        <f t="shared" si="2"/>
        <v>-3.973636923914485E-2</v>
      </c>
    </row>
    <row r="158" spans="1:5" x14ac:dyDescent="0.25">
      <c r="A158" t="s">
        <v>44</v>
      </c>
      <c r="B158">
        <v>2013</v>
      </c>
      <c r="C158">
        <v>259083.08333333299</v>
      </c>
      <c r="D158" s="5">
        <f t="shared" si="2"/>
        <v>5.539451730675559E-2</v>
      </c>
    </row>
    <row r="159" spans="1:5" x14ac:dyDescent="0.25">
      <c r="A159" t="s">
        <v>44</v>
      </c>
      <c r="B159">
        <v>2014</v>
      </c>
      <c r="C159">
        <v>269507.02083333302</v>
      </c>
      <c r="D159" s="5">
        <f t="shared" si="2"/>
        <v>4.0233956481785127E-2</v>
      </c>
    </row>
    <row r="160" spans="1:5" x14ac:dyDescent="0.25">
      <c r="A160" t="s">
        <v>44</v>
      </c>
      <c r="B160">
        <v>2015</v>
      </c>
      <c r="C160">
        <v>274445.83333333302</v>
      </c>
      <c r="D160" s="5">
        <f t="shared" si="2"/>
        <v>1.8325357479478176E-2</v>
      </c>
    </row>
    <row r="161" spans="1:5" x14ac:dyDescent="0.25">
      <c r="A161" t="s">
        <v>44</v>
      </c>
      <c r="B161">
        <v>2016</v>
      </c>
      <c r="C161">
        <v>274108.33333333302</v>
      </c>
      <c r="D161" s="5">
        <f t="shared" si="2"/>
        <v>-1.22975086158471E-3</v>
      </c>
    </row>
    <row r="162" spans="1:5" x14ac:dyDescent="0.25">
      <c r="A162" t="s">
        <v>45</v>
      </c>
      <c r="B162">
        <v>2007</v>
      </c>
      <c r="C162">
        <v>315191.25</v>
      </c>
      <c r="D162" s="5"/>
    </row>
    <row r="163" spans="1:5" x14ac:dyDescent="0.25">
      <c r="A163" t="s">
        <v>45</v>
      </c>
      <c r="B163">
        <v>2008</v>
      </c>
      <c r="C163">
        <v>302741.66666666698</v>
      </c>
      <c r="D163" s="5">
        <f t="shared" si="2"/>
        <v>-3.9498505536981192E-2</v>
      </c>
      <c r="E163" s="9">
        <f>STDEV(D163:D171)</f>
        <v>4.7704254192626333E-2</v>
      </c>
    </row>
    <row r="164" spans="1:5" x14ac:dyDescent="0.25">
      <c r="A164" t="s">
        <v>45</v>
      </c>
      <c r="B164">
        <v>2009</v>
      </c>
      <c r="C164">
        <v>284267.5</v>
      </c>
      <c r="D164" s="5">
        <f t="shared" si="2"/>
        <v>-6.1022874287760057E-2</v>
      </c>
    </row>
    <row r="165" spans="1:5" x14ac:dyDescent="0.25">
      <c r="A165" t="s">
        <v>45</v>
      </c>
      <c r="B165">
        <v>2010</v>
      </c>
      <c r="C165">
        <v>297315.45833333302</v>
      </c>
      <c r="D165" s="5">
        <f t="shared" si="2"/>
        <v>4.5900281718216196E-2</v>
      </c>
    </row>
    <row r="166" spans="1:5" x14ac:dyDescent="0.25">
      <c r="A166" t="s">
        <v>45</v>
      </c>
      <c r="B166">
        <v>2011</v>
      </c>
      <c r="C166">
        <v>301116.66666666698</v>
      </c>
      <c r="D166" s="5">
        <f t="shared" si="2"/>
        <v>1.2785101570710318E-2</v>
      </c>
    </row>
    <row r="167" spans="1:5" x14ac:dyDescent="0.25">
      <c r="A167" t="s">
        <v>45</v>
      </c>
      <c r="B167">
        <v>2012</v>
      </c>
      <c r="C167">
        <v>303218.54166666698</v>
      </c>
      <c r="D167" s="5">
        <f t="shared" si="2"/>
        <v>6.9802678917363073E-3</v>
      </c>
    </row>
    <row r="168" spans="1:5" x14ac:dyDescent="0.25">
      <c r="A168" t="s">
        <v>45</v>
      </c>
      <c r="B168">
        <v>2013</v>
      </c>
      <c r="C168">
        <v>311462.91666666698</v>
      </c>
      <c r="D168" s="5">
        <f t="shared" si="2"/>
        <v>2.7189547692842524E-2</v>
      </c>
    </row>
    <row r="169" spans="1:5" x14ac:dyDescent="0.25">
      <c r="A169" t="s">
        <v>45</v>
      </c>
      <c r="B169">
        <v>2014</v>
      </c>
      <c r="C169">
        <v>320104.58333333302</v>
      </c>
      <c r="D169" s="5">
        <f t="shared" si="2"/>
        <v>2.7745411104316175E-2</v>
      </c>
    </row>
    <row r="170" spans="1:5" x14ac:dyDescent="0.25">
      <c r="A170" t="s">
        <v>45</v>
      </c>
      <c r="B170">
        <v>2015</v>
      </c>
      <c r="C170">
        <v>318679.16666666698</v>
      </c>
      <c r="D170" s="5">
        <f t="shared" si="2"/>
        <v>-4.4529717501161905E-3</v>
      </c>
    </row>
    <row r="171" spans="1:5" x14ac:dyDescent="0.25">
      <c r="A171" t="s">
        <v>45</v>
      </c>
      <c r="B171">
        <v>2016</v>
      </c>
      <c r="C171">
        <v>287050</v>
      </c>
      <c r="D171" s="5">
        <f t="shared" si="2"/>
        <v>-9.9250813906359148E-2</v>
      </c>
    </row>
    <row r="172" spans="1:5" x14ac:dyDescent="0.25">
      <c r="A172" t="s">
        <v>46</v>
      </c>
      <c r="B172">
        <v>2007</v>
      </c>
      <c r="C172">
        <v>136483.33333333299</v>
      </c>
      <c r="D172" s="5"/>
    </row>
    <row r="173" spans="1:5" x14ac:dyDescent="0.25">
      <c r="A173" t="s">
        <v>46</v>
      </c>
      <c r="B173">
        <v>2008</v>
      </c>
      <c r="C173">
        <v>127892.75</v>
      </c>
      <c r="D173" s="5">
        <f t="shared" si="2"/>
        <v>-6.2942361704723518E-2</v>
      </c>
      <c r="E173" s="9">
        <f>STDEV(D173:D181)</f>
        <v>8.6719382449470722E-2</v>
      </c>
    </row>
    <row r="174" spans="1:5" x14ac:dyDescent="0.25">
      <c r="A174" t="s">
        <v>46</v>
      </c>
      <c r="B174">
        <v>2009</v>
      </c>
      <c r="C174">
        <v>106771.425</v>
      </c>
      <c r="D174" s="5">
        <f t="shared" si="2"/>
        <v>-0.16514872813353373</v>
      </c>
    </row>
    <row r="175" spans="1:5" x14ac:dyDescent="0.25">
      <c r="A175" t="s">
        <v>46</v>
      </c>
      <c r="B175">
        <v>2010</v>
      </c>
      <c r="C175">
        <v>102382.60416666701</v>
      </c>
      <c r="D175" s="5">
        <f t="shared" si="2"/>
        <v>-4.1104825877644663E-2</v>
      </c>
    </row>
    <row r="176" spans="1:5" x14ac:dyDescent="0.25">
      <c r="A176" t="s">
        <v>46</v>
      </c>
      <c r="B176">
        <v>2011</v>
      </c>
      <c r="C176">
        <v>103872.4875</v>
      </c>
      <c r="D176" s="5">
        <f t="shared" si="2"/>
        <v>1.4552114057458819E-2</v>
      </c>
    </row>
    <row r="177" spans="1:5" x14ac:dyDescent="0.25">
      <c r="A177" t="s">
        <v>46</v>
      </c>
      <c r="B177">
        <v>2012</v>
      </c>
      <c r="C177">
        <v>111171.883333333</v>
      </c>
      <c r="D177" s="5">
        <f t="shared" si="2"/>
        <v>7.02726584200941E-2</v>
      </c>
    </row>
    <row r="178" spans="1:5" x14ac:dyDescent="0.25">
      <c r="A178" t="s">
        <v>46</v>
      </c>
      <c r="B178">
        <v>2013</v>
      </c>
      <c r="C178">
        <v>124237.08333333299</v>
      </c>
      <c r="D178" s="5">
        <f t="shared" si="2"/>
        <v>0.11752252105710814</v>
      </c>
    </row>
    <row r="179" spans="1:5" x14ac:dyDescent="0.25">
      <c r="A179" t="s">
        <v>46</v>
      </c>
      <c r="B179">
        <v>2014</v>
      </c>
      <c r="C179">
        <v>133224.71249999999</v>
      </c>
      <c r="D179" s="5">
        <f t="shared" si="2"/>
        <v>7.2342564116326183E-2</v>
      </c>
    </row>
    <row r="180" spans="1:5" x14ac:dyDescent="0.25">
      <c r="A180" t="s">
        <v>46</v>
      </c>
      <c r="B180">
        <v>2015</v>
      </c>
      <c r="C180">
        <v>141049.91250000001</v>
      </c>
      <c r="D180" s="5">
        <f t="shared" si="2"/>
        <v>5.8736850342236704E-2</v>
      </c>
    </row>
    <row r="181" spans="1:5" x14ac:dyDescent="0.25">
      <c r="A181" t="s">
        <v>46</v>
      </c>
      <c r="B181">
        <v>2016</v>
      </c>
      <c r="C181">
        <v>143731.66666666701</v>
      </c>
      <c r="D181" s="5">
        <f t="shared" si="2"/>
        <v>1.9012802767013417E-2</v>
      </c>
    </row>
    <row r="182" spans="1:5" x14ac:dyDescent="0.25">
      <c r="A182" t="s">
        <v>47</v>
      </c>
      <c r="B182">
        <v>2007</v>
      </c>
      <c r="C182">
        <v>219871.33333333299</v>
      </c>
      <c r="D182" s="5"/>
    </row>
    <row r="183" spans="1:5" x14ac:dyDescent="0.25">
      <c r="A183" t="s">
        <v>47</v>
      </c>
      <c r="B183">
        <v>2008</v>
      </c>
      <c r="C183">
        <v>207018.75</v>
      </c>
      <c r="D183" s="5">
        <f t="shared" si="2"/>
        <v>-5.845502066359877E-2</v>
      </c>
      <c r="E183" s="9">
        <f>STDEV(D183:D191)</f>
        <v>8.752792894838432E-2</v>
      </c>
    </row>
    <row r="184" spans="1:5" x14ac:dyDescent="0.25">
      <c r="A184" t="s">
        <v>47</v>
      </c>
      <c r="B184">
        <v>2009</v>
      </c>
      <c r="C184">
        <v>174810.20833333299</v>
      </c>
      <c r="D184" s="5">
        <f t="shared" si="2"/>
        <v>-0.15558272700741843</v>
      </c>
    </row>
    <row r="185" spans="1:5" x14ac:dyDescent="0.25">
      <c r="A185" t="s">
        <v>47</v>
      </c>
      <c r="B185">
        <v>2010</v>
      </c>
      <c r="C185">
        <v>165027.67916666699</v>
      </c>
      <c r="D185" s="5">
        <f t="shared" si="2"/>
        <v>-5.5960857549076336E-2</v>
      </c>
    </row>
    <row r="186" spans="1:5" x14ac:dyDescent="0.25">
      <c r="A186" t="s">
        <v>47</v>
      </c>
      <c r="B186">
        <v>2011</v>
      </c>
      <c r="C186">
        <v>153309.33333333299</v>
      </c>
      <c r="D186" s="5">
        <f t="shared" si="2"/>
        <v>-7.100836594508031E-2</v>
      </c>
    </row>
    <row r="187" spans="1:5" x14ac:dyDescent="0.25">
      <c r="A187" t="s">
        <v>47</v>
      </c>
      <c r="B187">
        <v>2012</v>
      </c>
      <c r="C187">
        <v>152884.27916666699</v>
      </c>
      <c r="D187" s="5">
        <f t="shared" si="2"/>
        <v>-2.7725263519463926E-3</v>
      </c>
    </row>
    <row r="188" spans="1:5" x14ac:dyDescent="0.25">
      <c r="A188" t="s">
        <v>47</v>
      </c>
      <c r="B188">
        <v>2013</v>
      </c>
      <c r="C188">
        <v>169223.61249999999</v>
      </c>
      <c r="D188" s="5">
        <f t="shared" si="2"/>
        <v>0.10687386186725352</v>
      </c>
    </row>
    <row r="189" spans="1:5" x14ac:dyDescent="0.25">
      <c r="A189" t="s">
        <v>47</v>
      </c>
      <c r="B189">
        <v>2014</v>
      </c>
      <c r="C189">
        <v>178695.745833333</v>
      </c>
      <c r="D189" s="5">
        <f t="shared" si="2"/>
        <v>5.5974064100144487E-2</v>
      </c>
    </row>
    <row r="190" spans="1:5" x14ac:dyDescent="0.25">
      <c r="A190" t="s">
        <v>47</v>
      </c>
      <c r="B190">
        <v>2015</v>
      </c>
      <c r="C190">
        <v>193257.08333333299</v>
      </c>
      <c r="D190" s="5">
        <f t="shared" si="2"/>
        <v>8.1486760818476042E-2</v>
      </c>
    </row>
    <row r="191" spans="1:5" x14ac:dyDescent="0.25">
      <c r="A191" t="s">
        <v>47</v>
      </c>
      <c r="B191">
        <v>2016</v>
      </c>
      <c r="C191">
        <v>206091.83333333299</v>
      </c>
      <c r="D191" s="5">
        <f t="shared" si="2"/>
        <v>6.6412830922540689E-2</v>
      </c>
    </row>
    <row r="192" spans="1:5" x14ac:dyDescent="0.25">
      <c r="A192" t="s">
        <v>50</v>
      </c>
      <c r="B192">
        <v>2007</v>
      </c>
      <c r="C192">
        <v>141015.83333333299</v>
      </c>
      <c r="D192" s="5"/>
    </row>
    <row r="193" spans="1:5" x14ac:dyDescent="0.25">
      <c r="A193" t="s">
        <v>50</v>
      </c>
      <c r="B193">
        <v>2008</v>
      </c>
      <c r="C193">
        <v>139012.41666666701</v>
      </c>
      <c r="D193" s="5">
        <f t="shared" si="2"/>
        <v>-1.4207033489142418E-2</v>
      </c>
      <c r="E193" s="9">
        <f>STDEV(D193:D201)</f>
        <v>5.0218501544472466E-2</v>
      </c>
    </row>
    <row r="194" spans="1:5" x14ac:dyDescent="0.25">
      <c r="A194" t="s">
        <v>50</v>
      </c>
      <c r="B194">
        <v>2009</v>
      </c>
      <c r="C194">
        <v>129888.79166666701</v>
      </c>
      <c r="D194" s="5">
        <f t="shared" si="2"/>
        <v>-6.5631727141879856E-2</v>
      </c>
    </row>
    <row r="195" spans="1:5" x14ac:dyDescent="0.25">
      <c r="A195" t="s">
        <v>50</v>
      </c>
      <c r="B195">
        <v>2010</v>
      </c>
      <c r="C195">
        <v>124965.175</v>
      </c>
      <c r="D195" s="5">
        <f t="shared" si="2"/>
        <v>-3.7906401341406402E-2</v>
      </c>
    </row>
    <row r="196" spans="1:5" x14ac:dyDescent="0.25">
      <c r="A196" t="s">
        <v>50</v>
      </c>
      <c r="B196">
        <v>2011</v>
      </c>
      <c r="C196">
        <v>122980.808333333</v>
      </c>
      <c r="D196" s="5">
        <f t="shared" ref="D196:D259" si="3">(C196-C195)/C195</f>
        <v>-1.5879357322286014E-2</v>
      </c>
    </row>
    <row r="197" spans="1:5" x14ac:dyDescent="0.25">
      <c r="A197" t="s">
        <v>50</v>
      </c>
      <c r="B197">
        <v>2012</v>
      </c>
      <c r="C197">
        <v>125006.55</v>
      </c>
      <c r="D197" s="5">
        <f t="shared" si="3"/>
        <v>1.6472014569755774E-2</v>
      </c>
    </row>
    <row r="198" spans="1:5" x14ac:dyDescent="0.25">
      <c r="A198" t="s">
        <v>50</v>
      </c>
      <c r="B198">
        <v>2013</v>
      </c>
      <c r="C198">
        <v>130570.83333333299</v>
      </c>
      <c r="D198" s="5">
        <f t="shared" si="3"/>
        <v>4.4511934241309684E-2</v>
      </c>
    </row>
    <row r="199" spans="1:5" x14ac:dyDescent="0.25">
      <c r="A199" t="s">
        <v>50</v>
      </c>
      <c r="B199">
        <v>2014</v>
      </c>
      <c r="C199">
        <v>133286.25</v>
      </c>
      <c r="D199" s="5">
        <f t="shared" si="3"/>
        <v>2.079650253693982E-2</v>
      </c>
    </row>
    <row r="200" spans="1:5" x14ac:dyDescent="0.25">
      <c r="A200" t="s">
        <v>50</v>
      </c>
      <c r="B200">
        <v>2015</v>
      </c>
      <c r="C200">
        <v>143562.5</v>
      </c>
      <c r="D200" s="5">
        <f t="shared" si="3"/>
        <v>7.7099100619906408E-2</v>
      </c>
    </row>
    <row r="201" spans="1:5" x14ac:dyDescent="0.25">
      <c r="A201" t="s">
        <v>50</v>
      </c>
      <c r="B201">
        <v>2016</v>
      </c>
      <c r="C201">
        <v>155233.33333333299</v>
      </c>
      <c r="D201" s="5">
        <f t="shared" si="3"/>
        <v>8.1294442025828431E-2</v>
      </c>
    </row>
    <row r="202" spans="1:5" x14ac:dyDescent="0.25">
      <c r="A202" t="s">
        <v>51</v>
      </c>
      <c r="B202">
        <v>2007</v>
      </c>
      <c r="C202">
        <v>287889.58333333302</v>
      </c>
      <c r="D202" s="5"/>
    </row>
    <row r="203" spans="1:5" x14ac:dyDescent="0.25">
      <c r="A203" t="s">
        <v>51</v>
      </c>
      <c r="B203">
        <v>2008</v>
      </c>
      <c r="C203">
        <v>248192.5</v>
      </c>
      <c r="D203" s="5">
        <f t="shared" si="3"/>
        <v>-0.13788996070541998</v>
      </c>
      <c r="E203" s="9">
        <f>STDEV(D203:D211)</f>
        <v>0.17614662225449501</v>
      </c>
    </row>
    <row r="204" spans="1:5" x14ac:dyDescent="0.25">
      <c r="A204" t="s">
        <v>51</v>
      </c>
      <c r="B204">
        <v>2009</v>
      </c>
      <c r="C204">
        <v>186971.86249999999</v>
      </c>
      <c r="D204" s="5">
        <f t="shared" si="3"/>
        <v>-0.24666594478076498</v>
      </c>
    </row>
    <row r="205" spans="1:5" x14ac:dyDescent="0.25">
      <c r="A205" t="s">
        <v>51</v>
      </c>
      <c r="B205">
        <v>2010</v>
      </c>
      <c r="C205">
        <v>145887.96666666699</v>
      </c>
      <c r="D205" s="5">
        <f t="shared" si="3"/>
        <v>-0.21973304049069414</v>
      </c>
    </row>
    <row r="206" spans="1:5" x14ac:dyDescent="0.25">
      <c r="A206" t="s">
        <v>51</v>
      </c>
      <c r="B206">
        <v>2011</v>
      </c>
      <c r="C206">
        <v>137342.32083333301</v>
      </c>
      <c r="D206" s="5">
        <f t="shared" si="3"/>
        <v>-5.8576769754146718E-2</v>
      </c>
    </row>
    <row r="207" spans="1:5" x14ac:dyDescent="0.25">
      <c r="A207" t="s">
        <v>51</v>
      </c>
      <c r="B207">
        <v>2012</v>
      </c>
      <c r="C207">
        <v>136395.41250000001</v>
      </c>
      <c r="D207" s="5">
        <f t="shared" si="3"/>
        <v>-6.894512394923725E-3</v>
      </c>
    </row>
    <row r="208" spans="1:5" x14ac:dyDescent="0.25">
      <c r="A208" t="s">
        <v>51</v>
      </c>
      <c r="B208">
        <v>2013</v>
      </c>
      <c r="C208">
        <v>178357.84583333301</v>
      </c>
      <c r="D208" s="5">
        <f t="shared" si="3"/>
        <v>0.30765282031265528</v>
      </c>
    </row>
    <row r="209" spans="1:5" x14ac:dyDescent="0.25">
      <c r="A209" t="s">
        <v>51</v>
      </c>
      <c r="B209">
        <v>2014</v>
      </c>
      <c r="C209">
        <v>198967.08333333299</v>
      </c>
      <c r="D209" s="5">
        <f t="shared" si="3"/>
        <v>0.11554993504047111</v>
      </c>
    </row>
    <row r="210" spans="1:5" x14ac:dyDescent="0.25">
      <c r="A210" t="s">
        <v>51</v>
      </c>
      <c r="B210">
        <v>2015</v>
      </c>
      <c r="C210">
        <v>219868.25</v>
      </c>
      <c r="D210" s="5">
        <f t="shared" si="3"/>
        <v>0.10504836436512928</v>
      </c>
    </row>
    <row r="211" spans="1:5" x14ac:dyDescent="0.25">
      <c r="A211" t="s">
        <v>51</v>
      </c>
      <c r="B211">
        <v>2016</v>
      </c>
      <c r="C211">
        <v>217900</v>
      </c>
      <c r="D211" s="5">
        <f t="shared" si="3"/>
        <v>-8.9519519075628249E-3</v>
      </c>
    </row>
    <row r="212" spans="1:5" x14ac:dyDescent="0.25">
      <c r="A212" t="s">
        <v>52</v>
      </c>
      <c r="B212">
        <v>2007</v>
      </c>
      <c r="C212">
        <v>231909.16666666701</v>
      </c>
      <c r="D212" s="5"/>
    </row>
    <row r="213" spans="1:5" x14ac:dyDescent="0.25">
      <c r="A213" t="s">
        <v>52</v>
      </c>
      <c r="B213">
        <v>2008</v>
      </c>
      <c r="C213">
        <v>222515.83333333299</v>
      </c>
      <c r="D213" s="5">
        <f t="shared" si="3"/>
        <v>-4.0504364136823678E-2</v>
      </c>
      <c r="E213" s="9">
        <f>STDEV(D213:D221)</f>
        <v>5.2295262842797598E-2</v>
      </c>
    </row>
    <row r="214" spans="1:5" x14ac:dyDescent="0.25">
      <c r="A214" t="s">
        <v>52</v>
      </c>
      <c r="B214">
        <v>2009</v>
      </c>
      <c r="C214">
        <v>198202.08333333299</v>
      </c>
      <c r="D214" s="5">
        <f t="shared" si="3"/>
        <v>-0.10926750530861117</v>
      </c>
    </row>
    <row r="215" spans="1:5" x14ac:dyDescent="0.25">
      <c r="A215" t="s">
        <v>52</v>
      </c>
      <c r="B215">
        <v>2010</v>
      </c>
      <c r="C215">
        <v>194068.75</v>
      </c>
      <c r="D215" s="5">
        <f t="shared" si="3"/>
        <v>-2.0854136666069358E-2</v>
      </c>
    </row>
    <row r="216" spans="1:5" x14ac:dyDescent="0.25">
      <c r="A216" t="s">
        <v>52</v>
      </c>
      <c r="B216">
        <v>2011</v>
      </c>
      <c r="C216">
        <v>196172.08333333299</v>
      </c>
      <c r="D216" s="5">
        <f t="shared" si="3"/>
        <v>1.0838083582920969E-2</v>
      </c>
    </row>
    <row r="217" spans="1:5" x14ac:dyDescent="0.25">
      <c r="A217" t="s">
        <v>52</v>
      </c>
      <c r="B217">
        <v>2012</v>
      </c>
      <c r="C217">
        <v>195622.08333333299</v>
      </c>
      <c r="D217" s="5">
        <f t="shared" si="3"/>
        <v>-2.8036609014619441E-3</v>
      </c>
    </row>
    <row r="218" spans="1:5" x14ac:dyDescent="0.25">
      <c r="A218" t="s">
        <v>52</v>
      </c>
      <c r="B218">
        <v>2013</v>
      </c>
      <c r="C218">
        <v>207484.42083333299</v>
      </c>
      <c r="D218" s="5">
        <f t="shared" si="3"/>
        <v>6.063905106146425E-2</v>
      </c>
    </row>
    <row r="219" spans="1:5" x14ac:dyDescent="0.25">
      <c r="A219" t="s">
        <v>52</v>
      </c>
      <c r="B219">
        <v>2014</v>
      </c>
      <c r="C219">
        <v>216819.41666666701</v>
      </c>
      <c r="D219" s="5">
        <f t="shared" si="3"/>
        <v>4.4991309688897488E-2</v>
      </c>
    </row>
    <row r="220" spans="1:5" x14ac:dyDescent="0.25">
      <c r="A220" t="s">
        <v>52</v>
      </c>
      <c r="B220">
        <v>2015</v>
      </c>
      <c r="C220">
        <v>226326.33333333299</v>
      </c>
      <c r="D220" s="5">
        <f t="shared" si="3"/>
        <v>4.3847164671979973E-2</v>
      </c>
    </row>
    <row r="221" spans="1:5" x14ac:dyDescent="0.25">
      <c r="A221" t="s">
        <v>52</v>
      </c>
      <c r="B221">
        <v>2016</v>
      </c>
      <c r="C221">
        <v>223158.33333333299</v>
      </c>
      <c r="D221" s="5">
        <f t="shared" si="3"/>
        <v>-1.3997487403881436E-2</v>
      </c>
    </row>
    <row r="222" spans="1:5" x14ac:dyDescent="0.25">
      <c r="A222" t="s">
        <v>53</v>
      </c>
      <c r="B222">
        <v>2007</v>
      </c>
      <c r="C222">
        <v>332466.08333333302</v>
      </c>
      <c r="D222" s="5"/>
    </row>
    <row r="223" spans="1:5" x14ac:dyDescent="0.25">
      <c r="A223" t="s">
        <v>53</v>
      </c>
      <c r="B223">
        <v>2008</v>
      </c>
      <c r="C223">
        <v>318620.83333333302</v>
      </c>
      <c r="D223" s="5">
        <f t="shared" si="3"/>
        <v>-4.1644097530750671E-2</v>
      </c>
      <c r="E223" s="9">
        <f>STDEV(D223:D231)</f>
        <v>3.7058506018084941E-2</v>
      </c>
    </row>
    <row r="224" spans="1:5" x14ac:dyDescent="0.25">
      <c r="A224" t="s">
        <v>53</v>
      </c>
      <c r="B224">
        <v>2009</v>
      </c>
      <c r="C224">
        <v>295895.20833333302</v>
      </c>
      <c r="D224" s="5">
        <f t="shared" si="3"/>
        <v>-7.1324981364997653E-2</v>
      </c>
    </row>
    <row r="225" spans="1:5" x14ac:dyDescent="0.25">
      <c r="A225" t="s">
        <v>53</v>
      </c>
      <c r="B225">
        <v>2010</v>
      </c>
      <c r="C225">
        <v>293442.47916666698</v>
      </c>
      <c r="D225" s="5">
        <f t="shared" si="3"/>
        <v>-8.2891817697263552E-3</v>
      </c>
    </row>
    <row r="226" spans="1:5" x14ac:dyDescent="0.25">
      <c r="A226" t="s">
        <v>53</v>
      </c>
      <c r="B226">
        <v>2011</v>
      </c>
      <c r="C226">
        <v>282385.41666666698</v>
      </c>
      <c r="D226" s="5">
        <f t="shared" si="3"/>
        <v>-3.7680510781535156E-2</v>
      </c>
    </row>
    <row r="227" spans="1:5" x14ac:dyDescent="0.25">
      <c r="A227" t="s">
        <v>53</v>
      </c>
      <c r="B227">
        <v>2012</v>
      </c>
      <c r="C227">
        <v>269960.60833333299</v>
      </c>
      <c r="D227" s="5">
        <f t="shared" si="3"/>
        <v>-4.3999468811098223E-2</v>
      </c>
    </row>
    <row r="228" spans="1:5" x14ac:dyDescent="0.25">
      <c r="A228" t="s">
        <v>53</v>
      </c>
      <c r="B228">
        <v>2013</v>
      </c>
      <c r="C228">
        <v>280059.058333333</v>
      </c>
      <c r="D228" s="5">
        <f t="shared" si="3"/>
        <v>3.7407124181358276E-2</v>
      </c>
    </row>
    <row r="229" spans="1:5" x14ac:dyDescent="0.25">
      <c r="A229" t="s">
        <v>53</v>
      </c>
      <c r="B229">
        <v>2014</v>
      </c>
      <c r="C229">
        <v>285670.83333333302</v>
      </c>
      <c r="D229" s="5">
        <f t="shared" si="3"/>
        <v>2.0037827140448192E-2</v>
      </c>
    </row>
    <row r="230" spans="1:5" x14ac:dyDescent="0.25">
      <c r="A230" t="s">
        <v>53</v>
      </c>
      <c r="B230">
        <v>2015</v>
      </c>
      <c r="C230">
        <v>293183.33333333302</v>
      </c>
      <c r="D230" s="5">
        <f t="shared" si="3"/>
        <v>2.6297749449395457E-2</v>
      </c>
    </row>
    <row r="231" spans="1:5" x14ac:dyDescent="0.25">
      <c r="A231" t="s">
        <v>53</v>
      </c>
      <c r="B231">
        <v>2016</v>
      </c>
      <c r="C231">
        <v>287283.33333333302</v>
      </c>
      <c r="D231" s="5">
        <f t="shared" si="3"/>
        <v>-2.0123927008129178E-2</v>
      </c>
    </row>
    <row r="232" spans="1:5" x14ac:dyDescent="0.25">
      <c r="A232" t="s">
        <v>54</v>
      </c>
      <c r="B232">
        <v>2007</v>
      </c>
      <c r="C232">
        <v>168816.66666666701</v>
      </c>
      <c r="D232" s="5"/>
    </row>
    <row r="233" spans="1:5" x14ac:dyDescent="0.25">
      <c r="A233" t="s">
        <v>54</v>
      </c>
      <c r="B233">
        <v>2008</v>
      </c>
      <c r="C233">
        <v>170150</v>
      </c>
      <c r="D233" s="5">
        <f t="shared" si="3"/>
        <v>7.8981143252028294E-3</v>
      </c>
      <c r="E233" s="9">
        <f>STDEV(D233:D241)</f>
        <v>2.645917065268143E-2</v>
      </c>
    </row>
    <row r="234" spans="1:5" x14ac:dyDescent="0.25">
      <c r="A234" t="s">
        <v>54</v>
      </c>
      <c r="B234">
        <v>2009</v>
      </c>
      <c r="C234">
        <v>163075.75</v>
      </c>
      <c r="D234" s="5">
        <f t="shared" si="3"/>
        <v>-4.1576550102850426E-2</v>
      </c>
    </row>
    <row r="235" spans="1:5" x14ac:dyDescent="0.25">
      <c r="A235" t="s">
        <v>54</v>
      </c>
      <c r="B235">
        <v>2010</v>
      </c>
      <c r="C235">
        <v>164016.66666666701</v>
      </c>
      <c r="D235" s="5">
        <f t="shared" si="3"/>
        <v>5.7698135171354798E-3</v>
      </c>
    </row>
    <row r="236" spans="1:5" x14ac:dyDescent="0.25">
      <c r="A236" t="s">
        <v>54</v>
      </c>
      <c r="B236">
        <v>2011</v>
      </c>
      <c r="C236">
        <v>163097.91666666701</v>
      </c>
      <c r="D236" s="5">
        <f t="shared" si="3"/>
        <v>-5.6015648816177101E-3</v>
      </c>
    </row>
    <row r="237" spans="1:5" x14ac:dyDescent="0.25">
      <c r="A237" t="s">
        <v>54</v>
      </c>
      <c r="B237">
        <v>2012</v>
      </c>
      <c r="C237">
        <v>160583.33333333299</v>
      </c>
      <c r="D237" s="5">
        <f t="shared" si="3"/>
        <v>-1.5417630002431099E-2</v>
      </c>
    </row>
    <row r="238" spans="1:5" x14ac:dyDescent="0.25">
      <c r="A238" t="s">
        <v>54</v>
      </c>
      <c r="B238">
        <v>2013</v>
      </c>
      <c r="C238">
        <v>168858.33333333299</v>
      </c>
      <c r="D238" s="5">
        <f t="shared" si="3"/>
        <v>5.1530877010897876E-2</v>
      </c>
    </row>
    <row r="239" spans="1:5" x14ac:dyDescent="0.25">
      <c r="A239" t="s">
        <v>54</v>
      </c>
      <c r="B239">
        <v>2014</v>
      </c>
      <c r="C239">
        <v>173166.66666666701</v>
      </c>
      <c r="D239" s="5">
        <f t="shared" si="3"/>
        <v>2.5514484528454943E-2</v>
      </c>
    </row>
    <row r="240" spans="1:5" x14ac:dyDescent="0.25">
      <c r="A240" t="s">
        <v>54</v>
      </c>
      <c r="B240">
        <v>2015</v>
      </c>
      <c r="C240">
        <v>177134.83333333299</v>
      </c>
      <c r="D240" s="5">
        <f t="shared" si="3"/>
        <v>2.2915303176126927E-2</v>
      </c>
    </row>
    <row r="241" spans="1:5" x14ac:dyDescent="0.25">
      <c r="A241" t="s">
        <v>54</v>
      </c>
      <c r="B241">
        <v>2016</v>
      </c>
      <c r="C241">
        <v>178483.33333333299</v>
      </c>
      <c r="D241" s="5">
        <f t="shared" si="3"/>
        <v>7.6128448291273559E-3</v>
      </c>
    </row>
    <row r="242" spans="1:5" x14ac:dyDescent="0.25">
      <c r="A242" t="s">
        <v>55</v>
      </c>
      <c r="B242">
        <v>2007</v>
      </c>
      <c r="C242">
        <v>137133.33333333299</v>
      </c>
      <c r="D242" s="5"/>
    </row>
    <row r="243" spans="1:5" x14ac:dyDescent="0.25">
      <c r="A243" t="s">
        <v>55</v>
      </c>
      <c r="B243">
        <v>2008</v>
      </c>
      <c r="C243">
        <v>133775.6875</v>
      </c>
      <c r="D243" s="5">
        <f t="shared" si="3"/>
        <v>-2.4484534516283438E-2</v>
      </c>
      <c r="E243" s="9">
        <f>STDEV(D243:D251)</f>
        <v>5.1824557679628083E-2</v>
      </c>
    </row>
    <row r="244" spans="1:5" x14ac:dyDescent="0.25">
      <c r="A244" t="s">
        <v>55</v>
      </c>
      <c r="B244">
        <v>2009</v>
      </c>
      <c r="C244">
        <v>121827.64583333299</v>
      </c>
      <c r="D244" s="5">
        <f t="shared" si="3"/>
        <v>-8.9313999351840423E-2</v>
      </c>
    </row>
    <row r="245" spans="1:5" x14ac:dyDescent="0.25">
      <c r="A245" t="s">
        <v>55</v>
      </c>
      <c r="B245">
        <v>2010</v>
      </c>
      <c r="C245">
        <v>118022.5</v>
      </c>
      <c r="D245" s="5">
        <f t="shared" si="3"/>
        <v>-3.12338452188319E-2</v>
      </c>
    </row>
    <row r="246" spans="1:5" x14ac:dyDescent="0.25">
      <c r="A246" t="s">
        <v>55</v>
      </c>
      <c r="B246">
        <v>2011</v>
      </c>
      <c r="C246">
        <v>116009.679166667</v>
      </c>
      <c r="D246" s="5">
        <f t="shared" si="3"/>
        <v>-1.7054551745074004E-2</v>
      </c>
    </row>
    <row r="247" spans="1:5" x14ac:dyDescent="0.25">
      <c r="A247" t="s">
        <v>55</v>
      </c>
      <c r="B247">
        <v>2012</v>
      </c>
      <c r="C247">
        <v>111959.58333333299</v>
      </c>
      <c r="D247" s="5">
        <f t="shared" si="3"/>
        <v>-3.491170618199349E-2</v>
      </c>
    </row>
    <row r="248" spans="1:5" x14ac:dyDescent="0.25">
      <c r="A248" t="s">
        <v>55</v>
      </c>
      <c r="B248">
        <v>2013</v>
      </c>
      <c r="C248">
        <v>120387.46249999999</v>
      </c>
      <c r="D248" s="5">
        <f t="shared" si="3"/>
        <v>7.5276085492163705E-2</v>
      </c>
    </row>
    <row r="249" spans="1:5" x14ac:dyDescent="0.25">
      <c r="A249" t="s">
        <v>55</v>
      </c>
      <c r="B249">
        <v>2014</v>
      </c>
      <c r="C249">
        <v>126860.20833333299</v>
      </c>
      <c r="D249" s="5">
        <f t="shared" si="3"/>
        <v>5.3765946211658047E-2</v>
      </c>
    </row>
    <row r="250" spans="1:5" x14ac:dyDescent="0.25">
      <c r="A250" t="s">
        <v>55</v>
      </c>
      <c r="B250">
        <v>2015</v>
      </c>
      <c r="C250">
        <v>132023.95833333299</v>
      </c>
      <c r="D250" s="5">
        <f t="shared" si="3"/>
        <v>4.0704252876772276E-2</v>
      </c>
    </row>
    <row r="251" spans="1:5" x14ac:dyDescent="0.25">
      <c r="A251" t="s">
        <v>55</v>
      </c>
      <c r="B251">
        <v>2016</v>
      </c>
      <c r="C251">
        <v>134012.91666666701</v>
      </c>
      <c r="D251" s="5">
        <f t="shared" si="3"/>
        <v>1.5065131802155992E-2</v>
      </c>
    </row>
    <row r="252" spans="1:5" x14ac:dyDescent="0.25">
      <c r="A252" t="s">
        <v>56</v>
      </c>
      <c r="B252">
        <v>2007</v>
      </c>
      <c r="C252">
        <v>116339.58333333299</v>
      </c>
      <c r="D252" s="5"/>
    </row>
    <row r="253" spans="1:5" x14ac:dyDescent="0.25">
      <c r="A253" t="s">
        <v>56</v>
      </c>
      <c r="B253">
        <v>2008</v>
      </c>
      <c r="C253">
        <v>119914.66666666701</v>
      </c>
      <c r="D253" s="5">
        <f t="shared" si="3"/>
        <v>3.0729724405929679E-2</v>
      </c>
      <c r="E253" s="9">
        <f>STDEV(D253:D261)</f>
        <v>3.5479463736114158E-2</v>
      </c>
    </row>
    <row r="254" spans="1:5" x14ac:dyDescent="0.25">
      <c r="A254" t="s">
        <v>56</v>
      </c>
      <c r="B254">
        <v>2009</v>
      </c>
      <c r="C254">
        <v>115120.83333333299</v>
      </c>
      <c r="D254" s="5">
        <f t="shared" si="3"/>
        <v>-3.997703922790094E-2</v>
      </c>
    </row>
    <row r="255" spans="1:5" x14ac:dyDescent="0.25">
      <c r="A255" t="s">
        <v>56</v>
      </c>
      <c r="B255">
        <v>2010</v>
      </c>
      <c r="C255">
        <v>117162.5</v>
      </c>
      <c r="D255" s="5">
        <f t="shared" si="3"/>
        <v>1.7734988598938902E-2</v>
      </c>
    </row>
    <row r="256" spans="1:5" x14ac:dyDescent="0.25">
      <c r="A256" t="s">
        <v>56</v>
      </c>
      <c r="B256">
        <v>2011</v>
      </c>
      <c r="C256">
        <v>121538.70833333299</v>
      </c>
      <c r="D256" s="5">
        <f t="shared" si="3"/>
        <v>3.7351612788503095E-2</v>
      </c>
    </row>
    <row r="257" spans="1:5" x14ac:dyDescent="0.25">
      <c r="A257" t="s">
        <v>56</v>
      </c>
      <c r="B257">
        <v>2012</v>
      </c>
      <c r="C257">
        <v>117504.16666666701</v>
      </c>
      <c r="D257" s="5">
        <f t="shared" si="3"/>
        <v>-3.3195528585023483E-2</v>
      </c>
    </row>
    <row r="258" spans="1:5" x14ac:dyDescent="0.25">
      <c r="A258" t="s">
        <v>56</v>
      </c>
      <c r="B258">
        <v>2013</v>
      </c>
      <c r="C258">
        <v>121195.95833333299</v>
      </c>
      <c r="D258" s="5">
        <f t="shared" si="3"/>
        <v>3.1418389418809069E-2</v>
      </c>
    </row>
    <row r="259" spans="1:5" x14ac:dyDescent="0.25">
      <c r="A259" t="s">
        <v>56</v>
      </c>
      <c r="B259">
        <v>2014</v>
      </c>
      <c r="C259">
        <v>129075.83333333299</v>
      </c>
      <c r="D259" s="5">
        <f t="shared" si="3"/>
        <v>6.501763844572668E-2</v>
      </c>
    </row>
    <row r="260" spans="1:5" x14ac:dyDescent="0.25">
      <c r="A260" t="s">
        <v>56</v>
      </c>
      <c r="B260">
        <v>2015</v>
      </c>
      <c r="C260">
        <v>135559.58333333299</v>
      </c>
      <c r="D260" s="5">
        <f t="shared" ref="D260:D323" si="4">(C260-C259)/C259</f>
        <v>5.0232098701667754E-2</v>
      </c>
    </row>
    <row r="261" spans="1:5" x14ac:dyDescent="0.25">
      <c r="A261" t="s">
        <v>56</v>
      </c>
      <c r="B261">
        <v>2016</v>
      </c>
      <c r="C261">
        <v>136491.66666666701</v>
      </c>
      <c r="D261" s="5">
        <f t="shared" si="4"/>
        <v>6.8758202881317116E-3</v>
      </c>
    </row>
    <row r="262" spans="1:5" x14ac:dyDescent="0.25">
      <c r="A262" t="s">
        <v>57</v>
      </c>
      <c r="B262">
        <v>2007</v>
      </c>
      <c r="C262">
        <v>253075.875</v>
      </c>
      <c r="D262" s="5"/>
    </row>
    <row r="263" spans="1:5" x14ac:dyDescent="0.25">
      <c r="A263" t="s">
        <v>57</v>
      </c>
      <c r="B263">
        <v>2008</v>
      </c>
      <c r="C263">
        <v>241593.125</v>
      </c>
      <c r="D263" s="5">
        <f t="shared" si="4"/>
        <v>-4.5372756292949692E-2</v>
      </c>
      <c r="E263" s="9">
        <f>STDEV(D263:D271)</f>
        <v>6.4713447244725317E-2</v>
      </c>
    </row>
    <row r="264" spans="1:5" x14ac:dyDescent="0.25">
      <c r="A264" t="s">
        <v>57</v>
      </c>
      <c r="B264">
        <v>2009</v>
      </c>
      <c r="C264">
        <v>223766.66666666701</v>
      </c>
      <c r="D264" s="5">
        <f t="shared" si="4"/>
        <v>-7.3787109353103467E-2</v>
      </c>
    </row>
    <row r="265" spans="1:5" x14ac:dyDescent="0.25">
      <c r="A265" t="s">
        <v>57</v>
      </c>
      <c r="B265">
        <v>2010</v>
      </c>
      <c r="C265">
        <v>217162.29583333299</v>
      </c>
      <c r="D265" s="5">
        <f t="shared" si="4"/>
        <v>-2.9514542678388239E-2</v>
      </c>
    </row>
    <row r="266" spans="1:5" x14ac:dyDescent="0.25">
      <c r="A266" t="s">
        <v>57</v>
      </c>
      <c r="B266">
        <v>2011</v>
      </c>
      <c r="C266">
        <v>203639.5</v>
      </c>
      <c r="D266" s="5">
        <f t="shared" si="4"/>
        <v>-6.2270458973741095E-2</v>
      </c>
    </row>
    <row r="267" spans="1:5" x14ac:dyDescent="0.25">
      <c r="A267" t="s">
        <v>57</v>
      </c>
      <c r="B267">
        <v>2012</v>
      </c>
      <c r="C267">
        <v>204452.5</v>
      </c>
      <c r="D267" s="5">
        <f t="shared" si="4"/>
        <v>3.9923492249784543E-3</v>
      </c>
    </row>
    <row r="268" spans="1:5" x14ac:dyDescent="0.25">
      <c r="A268" t="s">
        <v>57</v>
      </c>
      <c r="B268">
        <v>2013</v>
      </c>
      <c r="C268">
        <v>221246.76666666701</v>
      </c>
      <c r="D268" s="5">
        <f t="shared" si="4"/>
        <v>8.214263296690924E-2</v>
      </c>
    </row>
    <row r="269" spans="1:5" x14ac:dyDescent="0.25">
      <c r="A269" t="s">
        <v>57</v>
      </c>
      <c r="B269">
        <v>2014</v>
      </c>
      <c r="C269">
        <v>239485.625</v>
      </c>
      <c r="D269" s="5">
        <f t="shared" si="4"/>
        <v>8.2436722615756311E-2</v>
      </c>
    </row>
    <row r="270" spans="1:5" x14ac:dyDescent="0.25">
      <c r="A270" t="s">
        <v>57</v>
      </c>
      <c r="B270">
        <v>2015</v>
      </c>
      <c r="C270">
        <v>256570.83333333299</v>
      </c>
      <c r="D270" s="5">
        <f t="shared" si="4"/>
        <v>7.1341268743512237E-2</v>
      </c>
    </row>
    <row r="271" spans="1:5" x14ac:dyDescent="0.25">
      <c r="A271" t="s">
        <v>57</v>
      </c>
      <c r="B271">
        <v>2016</v>
      </c>
      <c r="C271">
        <v>271658.33333333302</v>
      </c>
      <c r="D271" s="5">
        <f t="shared" si="4"/>
        <v>5.8804423729639503E-2</v>
      </c>
    </row>
    <row r="272" spans="1:5" x14ac:dyDescent="0.25">
      <c r="A272" t="s">
        <v>58</v>
      </c>
      <c r="B272">
        <v>2007</v>
      </c>
      <c r="C272">
        <v>171758.33333333299</v>
      </c>
      <c r="D272" s="5"/>
    </row>
    <row r="273" spans="1:5" x14ac:dyDescent="0.25">
      <c r="A273" t="s">
        <v>58</v>
      </c>
      <c r="B273">
        <v>2008</v>
      </c>
      <c r="C273">
        <v>169827.75</v>
      </c>
      <c r="D273" s="5">
        <f t="shared" si="4"/>
        <v>-1.1240114501963015E-2</v>
      </c>
      <c r="E273" s="9">
        <f>STDEV(D273:D281)</f>
        <v>3.8383695646174498E-2</v>
      </c>
    </row>
    <row r="274" spans="1:5" x14ac:dyDescent="0.25">
      <c r="A274" t="s">
        <v>58</v>
      </c>
      <c r="B274">
        <v>2009</v>
      </c>
      <c r="C274">
        <v>157189.70833333299</v>
      </c>
      <c r="D274" s="5">
        <f t="shared" si="4"/>
        <v>-7.4416823320493888E-2</v>
      </c>
    </row>
    <row r="275" spans="1:5" x14ac:dyDescent="0.25">
      <c r="A275" t="s">
        <v>58</v>
      </c>
      <c r="B275">
        <v>2010</v>
      </c>
      <c r="C275">
        <v>158039.58333333299</v>
      </c>
      <c r="D275" s="5">
        <f t="shared" si="4"/>
        <v>5.406683484632302E-3</v>
      </c>
    </row>
    <row r="276" spans="1:5" x14ac:dyDescent="0.25">
      <c r="A276" t="s">
        <v>58</v>
      </c>
      <c r="B276">
        <v>2011</v>
      </c>
      <c r="C276">
        <v>152096.25</v>
      </c>
      <c r="D276" s="5">
        <f t="shared" si="4"/>
        <v>-3.7606612267494205E-2</v>
      </c>
    </row>
    <row r="277" spans="1:5" x14ac:dyDescent="0.25">
      <c r="A277" t="s">
        <v>58</v>
      </c>
      <c r="B277">
        <v>2012</v>
      </c>
      <c r="C277">
        <v>150956.26666666701</v>
      </c>
      <c r="D277" s="5">
        <f t="shared" si="4"/>
        <v>-7.4951442480204996E-3</v>
      </c>
    </row>
    <row r="278" spans="1:5" x14ac:dyDescent="0.25">
      <c r="A278" t="s">
        <v>58</v>
      </c>
      <c r="B278">
        <v>2013</v>
      </c>
      <c r="C278">
        <v>159765.41666666701</v>
      </c>
      <c r="D278" s="5">
        <f t="shared" si="4"/>
        <v>5.8355642958843539E-2</v>
      </c>
    </row>
    <row r="279" spans="1:5" x14ac:dyDescent="0.25">
      <c r="A279" t="s">
        <v>58</v>
      </c>
      <c r="B279">
        <v>2014</v>
      </c>
      <c r="C279">
        <v>158637.5625</v>
      </c>
      <c r="D279" s="5">
        <f t="shared" si="4"/>
        <v>-7.0594387083166444E-3</v>
      </c>
    </row>
    <row r="280" spans="1:5" x14ac:dyDescent="0.25">
      <c r="A280" t="s">
        <v>58</v>
      </c>
      <c r="B280">
        <v>2015</v>
      </c>
      <c r="C280">
        <v>163534.33333333299</v>
      </c>
      <c r="D280" s="5">
        <f t="shared" si="4"/>
        <v>3.0867663094186749E-2</v>
      </c>
    </row>
    <row r="281" spans="1:5" x14ac:dyDescent="0.25">
      <c r="A281" t="s">
        <v>58</v>
      </c>
      <c r="B281">
        <v>2016</v>
      </c>
      <c r="C281">
        <v>166321.66666666701</v>
      </c>
      <c r="D281" s="5">
        <f t="shared" si="4"/>
        <v>1.7044331159821801E-2</v>
      </c>
    </row>
    <row r="282" spans="1:5" x14ac:dyDescent="0.25">
      <c r="A282" t="s">
        <v>59</v>
      </c>
      <c r="B282">
        <v>2007</v>
      </c>
      <c r="C282">
        <v>262279.16666666698</v>
      </c>
      <c r="D282" s="5"/>
    </row>
    <row r="283" spans="1:5" x14ac:dyDescent="0.25">
      <c r="A283" t="s">
        <v>59</v>
      </c>
      <c r="B283">
        <v>2008</v>
      </c>
      <c r="C283">
        <v>243775</v>
      </c>
      <c r="D283" s="5">
        <f t="shared" si="4"/>
        <v>-7.0551416270832112E-2</v>
      </c>
      <c r="E283" s="9">
        <f>STDEV(D283:D291)</f>
        <v>5.0275831249626153E-2</v>
      </c>
    </row>
    <row r="284" spans="1:5" x14ac:dyDescent="0.25">
      <c r="A284" t="s">
        <v>59</v>
      </c>
      <c r="B284">
        <v>2009</v>
      </c>
      <c r="C284">
        <v>216795.83333333299</v>
      </c>
      <c r="D284" s="5">
        <f t="shared" si="4"/>
        <v>-0.11067240966738594</v>
      </c>
    </row>
    <row r="285" spans="1:5" x14ac:dyDescent="0.25">
      <c r="A285" t="s">
        <v>59</v>
      </c>
      <c r="B285">
        <v>2010</v>
      </c>
      <c r="C285">
        <v>218958.33333333299</v>
      </c>
      <c r="D285" s="5">
        <f t="shared" si="4"/>
        <v>9.9748227018508356E-3</v>
      </c>
    </row>
    <row r="286" spans="1:5" x14ac:dyDescent="0.25">
      <c r="A286" t="s">
        <v>59</v>
      </c>
      <c r="B286">
        <v>2011</v>
      </c>
      <c r="C286">
        <v>212278.33333333299</v>
      </c>
      <c r="D286" s="5">
        <f t="shared" si="4"/>
        <v>-3.050808753568035E-2</v>
      </c>
    </row>
    <row r="287" spans="1:5" x14ac:dyDescent="0.25">
      <c r="A287" t="s">
        <v>59</v>
      </c>
      <c r="B287">
        <v>2012</v>
      </c>
      <c r="C287">
        <v>206363.75</v>
      </c>
      <c r="D287" s="5">
        <f t="shared" si="4"/>
        <v>-2.7862397638319204E-2</v>
      </c>
    </row>
    <row r="288" spans="1:5" x14ac:dyDescent="0.25">
      <c r="A288" t="s">
        <v>59</v>
      </c>
      <c r="B288">
        <v>2013</v>
      </c>
      <c r="C288">
        <v>210824.98749999999</v>
      </c>
      <c r="D288" s="5">
        <f t="shared" si="4"/>
        <v>2.161831959343629E-2</v>
      </c>
    </row>
    <row r="289" spans="1:5" x14ac:dyDescent="0.25">
      <c r="A289" t="s">
        <v>59</v>
      </c>
      <c r="B289">
        <v>2014</v>
      </c>
      <c r="C289">
        <v>213406.25</v>
      </c>
      <c r="D289" s="5">
        <f t="shared" si="4"/>
        <v>1.2243626956221268E-2</v>
      </c>
    </row>
    <row r="290" spans="1:5" x14ac:dyDescent="0.25">
      <c r="A290" t="s">
        <v>59</v>
      </c>
      <c r="B290">
        <v>2015</v>
      </c>
      <c r="C290">
        <v>221112.5</v>
      </c>
      <c r="D290" s="5">
        <f t="shared" si="4"/>
        <v>3.611070434909943E-2</v>
      </c>
    </row>
    <row r="291" spans="1:5" x14ac:dyDescent="0.25">
      <c r="A291" t="s">
        <v>59</v>
      </c>
      <c r="B291">
        <v>2016</v>
      </c>
      <c r="C291">
        <v>228316.66666666701</v>
      </c>
      <c r="D291" s="5">
        <f t="shared" si="4"/>
        <v>3.2581453634086752E-2</v>
      </c>
    </row>
    <row r="292" spans="1:5" x14ac:dyDescent="0.25">
      <c r="A292" t="s">
        <v>60</v>
      </c>
      <c r="B292">
        <v>2007</v>
      </c>
      <c r="C292">
        <v>166213.33333333299</v>
      </c>
      <c r="D292" s="5"/>
    </row>
    <row r="293" spans="1:5" x14ac:dyDescent="0.25">
      <c r="A293" t="s">
        <v>60</v>
      </c>
      <c r="B293">
        <v>2008</v>
      </c>
      <c r="C293">
        <v>161419.8125</v>
      </c>
      <c r="D293" s="5">
        <f t="shared" si="4"/>
        <v>-2.8839568626662544E-2</v>
      </c>
      <c r="E293" s="9">
        <f>STDEV(D293:D301)</f>
        <v>4.3624883403978479E-2</v>
      </c>
    </row>
    <row r="294" spans="1:5" x14ac:dyDescent="0.25">
      <c r="A294" t="s">
        <v>60</v>
      </c>
      <c r="B294">
        <v>2009</v>
      </c>
      <c r="C294">
        <v>147572.28750000001</v>
      </c>
      <c r="D294" s="5">
        <f t="shared" si="4"/>
        <v>-8.578578295647564E-2</v>
      </c>
    </row>
    <row r="295" spans="1:5" x14ac:dyDescent="0.25">
      <c r="A295" t="s">
        <v>60</v>
      </c>
      <c r="B295">
        <v>2010</v>
      </c>
      <c r="C295">
        <v>145811.6875</v>
      </c>
      <c r="D295" s="5">
        <f t="shared" si="4"/>
        <v>-1.193042426749674E-2</v>
      </c>
    </row>
    <row r="296" spans="1:5" x14ac:dyDescent="0.25">
      <c r="A296" t="s">
        <v>60</v>
      </c>
      <c r="B296">
        <v>2011</v>
      </c>
      <c r="C296">
        <v>144127.84166666699</v>
      </c>
      <c r="D296" s="5">
        <f t="shared" si="4"/>
        <v>-1.1548085494401849E-2</v>
      </c>
    </row>
    <row r="297" spans="1:5" x14ac:dyDescent="0.25">
      <c r="A297" t="s">
        <v>60</v>
      </c>
      <c r="B297">
        <v>2012</v>
      </c>
      <c r="C297">
        <v>144192.04166666701</v>
      </c>
      <c r="D297" s="5">
        <f t="shared" si="4"/>
        <v>4.4543787832812196E-4</v>
      </c>
    </row>
    <row r="298" spans="1:5" x14ac:dyDescent="0.25">
      <c r="A298" t="s">
        <v>60</v>
      </c>
      <c r="B298">
        <v>2013</v>
      </c>
      <c r="C298">
        <v>153490</v>
      </c>
      <c r="D298" s="5">
        <f t="shared" si="4"/>
        <v>6.4483158889083195E-2</v>
      </c>
    </row>
    <row r="299" spans="1:5" x14ac:dyDescent="0.25">
      <c r="A299" t="s">
        <v>60</v>
      </c>
      <c r="B299">
        <v>2014</v>
      </c>
      <c r="C299">
        <v>158782.78333333301</v>
      </c>
      <c r="D299" s="5">
        <f t="shared" si="4"/>
        <v>3.4482919625597797E-2</v>
      </c>
    </row>
    <row r="300" spans="1:5" x14ac:dyDescent="0.25">
      <c r="A300" t="s">
        <v>60</v>
      </c>
      <c r="B300">
        <v>2015</v>
      </c>
      <c r="C300">
        <v>163978.33333333299</v>
      </c>
      <c r="D300" s="5">
        <f t="shared" si="4"/>
        <v>3.27211168045402E-2</v>
      </c>
    </row>
    <row r="301" spans="1:5" x14ac:dyDescent="0.25">
      <c r="A301" t="s">
        <v>60</v>
      </c>
      <c r="B301">
        <v>2016</v>
      </c>
      <c r="C301">
        <v>167085.83333333299</v>
      </c>
      <c r="D301" s="5">
        <f t="shared" si="4"/>
        <v>1.8950674377712542E-2</v>
      </c>
    </row>
    <row r="302" spans="1:5" x14ac:dyDescent="0.25">
      <c r="A302" t="s">
        <v>64</v>
      </c>
      <c r="B302">
        <v>2007</v>
      </c>
      <c r="C302">
        <v>229358.45588333299</v>
      </c>
      <c r="D302" s="5"/>
    </row>
    <row r="303" spans="1:5" x14ac:dyDescent="0.25">
      <c r="A303" t="s">
        <v>64</v>
      </c>
      <c r="B303">
        <v>2008</v>
      </c>
      <c r="C303">
        <v>186860.41666666701</v>
      </c>
      <c r="D303" s="5">
        <f t="shared" si="4"/>
        <v>-0.18529091963491123</v>
      </c>
      <c r="E303" s="9">
        <f>STDEV(D303:D311)</f>
        <v>9.0640930041921405E-2</v>
      </c>
    </row>
    <row r="304" spans="1:5" x14ac:dyDescent="0.25">
      <c r="A304" t="s">
        <v>64</v>
      </c>
      <c r="B304">
        <v>2009</v>
      </c>
      <c r="C304">
        <v>179981.25</v>
      </c>
      <c r="D304" s="5">
        <f t="shared" si="4"/>
        <v>-3.6814467126756345E-2</v>
      </c>
    </row>
    <row r="305" spans="1:5" x14ac:dyDescent="0.25">
      <c r="A305" t="s">
        <v>64</v>
      </c>
      <c r="B305">
        <v>2010</v>
      </c>
      <c r="C305">
        <v>209947.5</v>
      </c>
      <c r="D305" s="5">
        <f t="shared" si="4"/>
        <v>0.16649651005313054</v>
      </c>
    </row>
    <row r="306" spans="1:5" x14ac:dyDescent="0.25">
      <c r="A306" t="s">
        <v>64</v>
      </c>
      <c r="B306">
        <v>2011</v>
      </c>
      <c r="C306">
        <v>208708.125</v>
      </c>
      <c r="D306" s="5">
        <f t="shared" si="4"/>
        <v>-5.9032615296681313E-3</v>
      </c>
    </row>
    <row r="307" spans="1:5" x14ac:dyDescent="0.25">
      <c r="A307" t="s">
        <v>64</v>
      </c>
      <c r="B307">
        <v>2012</v>
      </c>
      <c r="C307">
        <v>203059.16666666701</v>
      </c>
      <c r="D307" s="5">
        <f t="shared" si="4"/>
        <v>-2.7066307712423718E-2</v>
      </c>
    </row>
    <row r="308" spans="1:5" x14ac:dyDescent="0.25">
      <c r="A308" t="s">
        <v>64</v>
      </c>
      <c r="B308">
        <v>2013</v>
      </c>
      <c r="C308">
        <v>209386.66666666701</v>
      </c>
      <c r="D308" s="5">
        <f t="shared" si="4"/>
        <v>3.1160868548165303E-2</v>
      </c>
    </row>
    <row r="309" spans="1:5" x14ac:dyDescent="0.25">
      <c r="A309" t="s">
        <v>64</v>
      </c>
      <c r="B309">
        <v>2014</v>
      </c>
      <c r="C309">
        <v>210997.91666666701</v>
      </c>
      <c r="D309" s="5">
        <f t="shared" si="4"/>
        <v>7.6950936067243887E-3</v>
      </c>
    </row>
    <row r="310" spans="1:5" x14ac:dyDescent="0.25">
      <c r="A310" t="s">
        <v>64</v>
      </c>
      <c r="B310">
        <v>2015</v>
      </c>
      <c r="C310">
        <v>215145.83333333299</v>
      </c>
      <c r="D310" s="5">
        <f t="shared" si="4"/>
        <v>1.9658566928975118E-2</v>
      </c>
    </row>
    <row r="311" spans="1:5" x14ac:dyDescent="0.25">
      <c r="A311" t="s">
        <v>64</v>
      </c>
      <c r="B311">
        <v>2016</v>
      </c>
      <c r="C311">
        <v>210758.33333333299</v>
      </c>
      <c r="D311" s="5">
        <f t="shared" si="4"/>
        <v>-2.0393144185145765E-2</v>
      </c>
    </row>
    <row r="312" spans="1:5" x14ac:dyDescent="0.25">
      <c r="A312" t="s">
        <v>65</v>
      </c>
      <c r="B312">
        <v>2007</v>
      </c>
      <c r="C312">
        <v>285018.75</v>
      </c>
      <c r="D312" s="5"/>
    </row>
    <row r="313" spans="1:5" x14ac:dyDescent="0.25">
      <c r="A313" t="s">
        <v>65</v>
      </c>
      <c r="B313">
        <v>2008</v>
      </c>
      <c r="C313">
        <v>256302.08333333299</v>
      </c>
      <c r="D313" s="5">
        <f t="shared" si="4"/>
        <v>-0.10075360539145936</v>
      </c>
      <c r="E313" s="9">
        <f>STDEV(D313:D321)</f>
        <v>5.7212724049335542E-2</v>
      </c>
    </row>
    <row r="314" spans="1:5" x14ac:dyDescent="0.25">
      <c r="A314" t="s">
        <v>65</v>
      </c>
      <c r="B314">
        <v>2009</v>
      </c>
      <c r="C314">
        <v>236726.625</v>
      </c>
      <c r="D314" s="5">
        <f t="shared" si="4"/>
        <v>-7.6376508839665513E-2</v>
      </c>
    </row>
    <row r="315" spans="1:5" x14ac:dyDescent="0.25">
      <c r="A315" t="s">
        <v>65</v>
      </c>
      <c r="B315">
        <v>2010</v>
      </c>
      <c r="C315">
        <v>240833.54166666701</v>
      </c>
      <c r="D315" s="5">
        <f t="shared" si="4"/>
        <v>1.7348773787768935E-2</v>
      </c>
    </row>
    <row r="316" spans="1:5" x14ac:dyDescent="0.25">
      <c r="A316" t="s">
        <v>65</v>
      </c>
      <c r="B316">
        <v>2011</v>
      </c>
      <c r="C316">
        <v>239878.10416666701</v>
      </c>
      <c r="D316" s="5">
        <f t="shared" si="4"/>
        <v>-3.9672111010284538E-3</v>
      </c>
    </row>
    <row r="317" spans="1:5" x14ac:dyDescent="0.25">
      <c r="A317" t="s">
        <v>65</v>
      </c>
      <c r="B317">
        <v>2012</v>
      </c>
      <c r="C317">
        <v>235004.73749999999</v>
      </c>
      <c r="D317" s="5">
        <f t="shared" si="4"/>
        <v>-2.0316012933306364E-2</v>
      </c>
    </row>
    <row r="318" spans="1:5" x14ac:dyDescent="0.25">
      <c r="A318" t="s">
        <v>65</v>
      </c>
      <c r="B318">
        <v>2013</v>
      </c>
      <c r="C318">
        <v>255473.875</v>
      </c>
      <c r="D318" s="5">
        <f t="shared" si="4"/>
        <v>8.7100956847731684E-2</v>
      </c>
    </row>
    <row r="319" spans="1:5" x14ac:dyDescent="0.25">
      <c r="A319" t="s">
        <v>65</v>
      </c>
      <c r="B319">
        <v>2014</v>
      </c>
      <c r="C319">
        <v>265164.70416666701</v>
      </c>
      <c r="D319" s="5">
        <f t="shared" si="4"/>
        <v>3.7932759921800271E-2</v>
      </c>
    </row>
    <row r="320" spans="1:5" x14ac:dyDescent="0.25">
      <c r="A320" t="s">
        <v>65</v>
      </c>
      <c r="B320">
        <v>2015</v>
      </c>
      <c r="C320">
        <v>270347.91666666698</v>
      </c>
      <c r="D320" s="5">
        <f t="shared" si="4"/>
        <v>1.9547143411447782E-2</v>
      </c>
    </row>
    <row r="321" spans="1:5" x14ac:dyDescent="0.25">
      <c r="A321" t="s">
        <v>65</v>
      </c>
      <c r="B321">
        <v>2016</v>
      </c>
      <c r="C321">
        <v>273633.33333333302</v>
      </c>
      <c r="D321" s="5">
        <f t="shared" si="4"/>
        <v>1.2152550340222862E-2</v>
      </c>
    </row>
    <row r="322" spans="1:5" x14ac:dyDescent="0.25">
      <c r="A322" t="s">
        <v>66</v>
      </c>
      <c r="B322">
        <v>2007</v>
      </c>
      <c r="C322">
        <v>297284.375</v>
      </c>
      <c r="D322" s="5"/>
    </row>
    <row r="323" spans="1:5" x14ac:dyDescent="0.25">
      <c r="A323" t="s">
        <v>66</v>
      </c>
      <c r="B323">
        <v>2008</v>
      </c>
      <c r="C323">
        <v>283070.04166666698</v>
      </c>
      <c r="D323" s="5">
        <f t="shared" si="4"/>
        <v>-4.78139267606413E-2</v>
      </c>
      <c r="E323" s="9">
        <f>STDEV(D323:D331)</f>
        <v>6.4180395476161084E-2</v>
      </c>
    </row>
    <row r="324" spans="1:5" x14ac:dyDescent="0.25">
      <c r="A324" t="s">
        <v>66</v>
      </c>
      <c r="B324">
        <v>2009</v>
      </c>
      <c r="C324">
        <v>255874.10416666701</v>
      </c>
      <c r="D324" s="5">
        <f t="shared" ref="D324:D351" si="5">(C324-C323)/C323</f>
        <v>-9.6074940816326018E-2</v>
      </c>
    </row>
    <row r="325" spans="1:5" x14ac:dyDescent="0.25">
      <c r="A325" t="s">
        <v>66</v>
      </c>
      <c r="B325">
        <v>2010</v>
      </c>
      <c r="C325">
        <v>249743.78750000001</v>
      </c>
      <c r="D325" s="5">
        <f t="shared" si="5"/>
        <v>-2.3958331721892174E-2</v>
      </c>
    </row>
    <row r="326" spans="1:5" x14ac:dyDescent="0.25">
      <c r="A326" t="s">
        <v>66</v>
      </c>
      <c r="B326">
        <v>2011</v>
      </c>
      <c r="C326">
        <v>237401.78333333301</v>
      </c>
      <c r="D326" s="5">
        <f t="shared" si="5"/>
        <v>-4.9418663383836929E-2</v>
      </c>
    </row>
    <row r="327" spans="1:5" x14ac:dyDescent="0.25">
      <c r="A327" t="s">
        <v>66</v>
      </c>
      <c r="B327">
        <v>2012</v>
      </c>
      <c r="C327">
        <v>228539.30416666699</v>
      </c>
      <c r="D327" s="5">
        <f t="shared" si="5"/>
        <v>-3.7331139818028727E-2</v>
      </c>
    </row>
    <row r="328" spans="1:5" x14ac:dyDescent="0.25">
      <c r="A328" t="s">
        <v>66</v>
      </c>
      <c r="B328">
        <v>2013</v>
      </c>
      <c r="C328">
        <v>243217.004166667</v>
      </c>
      <c r="D328" s="5">
        <f t="shared" si="5"/>
        <v>6.4223963810163681E-2</v>
      </c>
    </row>
    <row r="329" spans="1:5" x14ac:dyDescent="0.25">
      <c r="A329" t="s">
        <v>66</v>
      </c>
      <c r="B329">
        <v>2014</v>
      </c>
      <c r="C329">
        <v>257099.20833333299</v>
      </c>
      <c r="D329" s="5">
        <f t="shared" si="5"/>
        <v>5.7077440840250904E-2</v>
      </c>
    </row>
    <row r="330" spans="1:5" x14ac:dyDescent="0.25">
      <c r="A330" t="s">
        <v>66</v>
      </c>
      <c r="B330">
        <v>2015</v>
      </c>
      <c r="C330">
        <v>274470.83333333302</v>
      </c>
      <c r="D330" s="5">
        <f t="shared" si="5"/>
        <v>6.7567788763773465E-2</v>
      </c>
    </row>
    <row r="331" spans="1:5" x14ac:dyDescent="0.25">
      <c r="A331" t="s">
        <v>66</v>
      </c>
      <c r="B331">
        <v>2016</v>
      </c>
      <c r="C331">
        <v>294037.5</v>
      </c>
      <c r="D331" s="5">
        <f t="shared" si="5"/>
        <v>7.128869187679443E-2</v>
      </c>
    </row>
    <row r="332" spans="1:5" x14ac:dyDescent="0.25">
      <c r="A332" t="s">
        <v>67</v>
      </c>
      <c r="B332">
        <v>2007</v>
      </c>
      <c r="C332">
        <v>94929.166666666701</v>
      </c>
      <c r="D332" s="5"/>
    </row>
    <row r="333" spans="1:5" x14ac:dyDescent="0.25">
      <c r="A333" t="s">
        <v>67</v>
      </c>
      <c r="B333">
        <v>2008</v>
      </c>
      <c r="C333">
        <v>101163.77499999999</v>
      </c>
      <c r="D333" s="5">
        <f t="shared" si="5"/>
        <v>6.567642540490673E-2</v>
      </c>
      <c r="E333" s="9">
        <f>STDEV(D333:D341)</f>
        <v>7.1010139537554598E-2</v>
      </c>
    </row>
    <row r="334" spans="1:5" x14ac:dyDescent="0.25">
      <c r="A334" t="s">
        <v>67</v>
      </c>
      <c r="B334">
        <v>2009</v>
      </c>
      <c r="C334">
        <v>96992.633333333302</v>
      </c>
      <c r="D334" s="5">
        <f t="shared" si="5"/>
        <v>-4.1231573917310735E-2</v>
      </c>
    </row>
    <row r="335" spans="1:5" x14ac:dyDescent="0.25">
      <c r="A335" t="s">
        <v>67</v>
      </c>
      <c r="B335">
        <v>2010</v>
      </c>
      <c r="C335">
        <v>96252.916666666701</v>
      </c>
      <c r="D335" s="5">
        <f t="shared" si="5"/>
        <v>-7.6265242136939115E-3</v>
      </c>
    </row>
    <row r="336" spans="1:5" x14ac:dyDescent="0.25">
      <c r="A336" t="s">
        <v>67</v>
      </c>
      <c r="B336">
        <v>2011</v>
      </c>
      <c r="C336">
        <v>111989.58333333299</v>
      </c>
      <c r="D336" s="5">
        <f t="shared" si="5"/>
        <v>0.16349288116809918</v>
      </c>
    </row>
    <row r="337" spans="1:5" x14ac:dyDescent="0.25">
      <c r="A337" t="s">
        <v>67</v>
      </c>
      <c r="B337">
        <v>2012</v>
      </c>
      <c r="C337">
        <v>122739.75</v>
      </c>
      <c r="D337" s="5">
        <f t="shared" si="5"/>
        <v>9.5992558831739905E-2</v>
      </c>
    </row>
    <row r="338" spans="1:5" x14ac:dyDescent="0.25">
      <c r="A338" t="s">
        <v>67</v>
      </c>
      <c r="B338">
        <v>2013</v>
      </c>
      <c r="C338">
        <v>123525.4375</v>
      </c>
      <c r="D338" s="5">
        <f t="shared" si="5"/>
        <v>6.4012473546670905E-3</v>
      </c>
    </row>
    <row r="339" spans="1:5" x14ac:dyDescent="0.25">
      <c r="A339" t="s">
        <v>67</v>
      </c>
      <c r="B339">
        <v>2014</v>
      </c>
      <c r="C339">
        <v>122552.370833333</v>
      </c>
      <c r="D339" s="5">
        <f t="shared" si="5"/>
        <v>-7.8774597877218633E-3</v>
      </c>
    </row>
    <row r="340" spans="1:5" x14ac:dyDescent="0.25">
      <c r="A340" t="s">
        <v>67</v>
      </c>
      <c r="B340">
        <v>2015</v>
      </c>
      <c r="C340">
        <v>126445.83333333299</v>
      </c>
      <c r="D340" s="5">
        <f t="shared" si="5"/>
        <v>3.176978522345332E-2</v>
      </c>
    </row>
    <row r="341" spans="1:5" x14ac:dyDescent="0.25">
      <c r="A341" t="s">
        <v>67</v>
      </c>
      <c r="B341">
        <v>2016</v>
      </c>
      <c r="C341">
        <v>118595.83333333299</v>
      </c>
      <c r="D341" s="5">
        <f t="shared" si="5"/>
        <v>-6.2081919135334798E-2</v>
      </c>
    </row>
    <row r="342" spans="1:5" x14ac:dyDescent="0.25">
      <c r="A342" t="s">
        <v>68</v>
      </c>
      <c r="B342">
        <v>2007</v>
      </c>
      <c r="C342">
        <v>166317.5</v>
      </c>
      <c r="D342" s="5"/>
    </row>
    <row r="343" spans="1:5" x14ac:dyDescent="0.25">
      <c r="A343" t="s">
        <v>68</v>
      </c>
      <c r="B343">
        <v>2008</v>
      </c>
      <c r="C343">
        <v>162394.16666666701</v>
      </c>
      <c r="D343" s="5">
        <f t="shared" si="5"/>
        <v>-2.3589419834551349E-2</v>
      </c>
      <c r="E343" s="9">
        <f>STDEV(D343:D351)</f>
        <v>3.5662736322232567E-2</v>
      </c>
    </row>
    <row r="344" spans="1:5" x14ac:dyDescent="0.25">
      <c r="A344" t="s">
        <v>68</v>
      </c>
      <c r="B344">
        <v>2009</v>
      </c>
      <c r="C344">
        <v>149924.79166666701</v>
      </c>
      <c r="D344" s="5">
        <f t="shared" si="5"/>
        <v>-7.6784623831931409E-2</v>
      </c>
    </row>
    <row r="345" spans="1:5" x14ac:dyDescent="0.25">
      <c r="A345" t="s">
        <v>68</v>
      </c>
      <c r="B345">
        <v>2010</v>
      </c>
      <c r="C345">
        <v>148618.33333333299</v>
      </c>
      <c r="D345" s="5">
        <f t="shared" si="5"/>
        <v>-8.7140913708168202E-3</v>
      </c>
    </row>
    <row r="346" spans="1:5" x14ac:dyDescent="0.25">
      <c r="A346" t="s">
        <v>68</v>
      </c>
      <c r="B346">
        <v>2011</v>
      </c>
      <c r="C346">
        <v>146357.5</v>
      </c>
      <c r="D346" s="5">
        <f t="shared" si="5"/>
        <v>-1.5212344820623289E-2</v>
      </c>
    </row>
    <row r="347" spans="1:5" x14ac:dyDescent="0.25">
      <c r="A347" t="s">
        <v>68</v>
      </c>
      <c r="B347">
        <v>2012</v>
      </c>
      <c r="C347">
        <v>143058.75</v>
      </c>
      <c r="D347" s="5">
        <f t="shared" si="5"/>
        <v>-2.253898843585057E-2</v>
      </c>
    </row>
    <row r="348" spans="1:5" x14ac:dyDescent="0.25">
      <c r="A348" t="s">
        <v>68</v>
      </c>
      <c r="B348">
        <v>2013</v>
      </c>
      <c r="C348">
        <v>146987.5</v>
      </c>
      <c r="D348" s="5">
        <f t="shared" si="5"/>
        <v>2.746249355596914E-2</v>
      </c>
    </row>
    <row r="349" spans="1:5" x14ac:dyDescent="0.25">
      <c r="A349" t="s">
        <v>68</v>
      </c>
      <c r="B349">
        <v>2014</v>
      </c>
      <c r="C349">
        <v>149495.41666666701</v>
      </c>
      <c r="D349" s="5">
        <f t="shared" si="5"/>
        <v>1.706210845593677E-2</v>
      </c>
    </row>
    <row r="350" spans="1:5" x14ac:dyDescent="0.25">
      <c r="A350" t="s">
        <v>68</v>
      </c>
      <c r="B350">
        <v>2015</v>
      </c>
      <c r="C350">
        <v>156281.25</v>
      </c>
      <c r="D350" s="5">
        <f t="shared" si="5"/>
        <v>4.5391581124279587E-2</v>
      </c>
    </row>
    <row r="351" spans="1:5" x14ac:dyDescent="0.25">
      <c r="A351" t="s">
        <v>68</v>
      </c>
      <c r="B351">
        <v>2016</v>
      </c>
      <c r="C351">
        <v>157550</v>
      </c>
      <c r="D351" s="5">
        <f t="shared" si="5"/>
        <v>8.1183763247350531E-3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A16"/>
  <sheetViews>
    <sheetView workbookViewId="0">
      <selection activeCell="E28" sqref="E28"/>
    </sheetView>
  </sheetViews>
  <sheetFormatPr defaultRowHeight="15" x14ac:dyDescent="0.25"/>
  <sheetData>
    <row r="1" spans="1:1" x14ac:dyDescent="0.25">
      <c r="A1" t="s">
        <v>26</v>
      </c>
    </row>
    <row r="2" spans="1:1" x14ac:dyDescent="0.25">
      <c r="A2" t="s">
        <v>37</v>
      </c>
    </row>
    <row r="3" spans="1:1" x14ac:dyDescent="0.25">
      <c r="A3" t="s">
        <v>39</v>
      </c>
    </row>
    <row r="4" spans="1:1" x14ac:dyDescent="0.25">
      <c r="A4" t="s">
        <v>41</v>
      </c>
    </row>
    <row r="5" spans="1:1" x14ac:dyDescent="0.25">
      <c r="A5" t="s">
        <v>71</v>
      </c>
    </row>
    <row r="6" spans="1:1" x14ac:dyDescent="0.25">
      <c r="A6" t="s">
        <v>72</v>
      </c>
    </row>
    <row r="7" spans="1:1" x14ac:dyDescent="0.25">
      <c r="A7" t="s">
        <v>73</v>
      </c>
    </row>
    <row r="8" spans="1:1" x14ac:dyDescent="0.25">
      <c r="A8" t="s">
        <v>74</v>
      </c>
    </row>
    <row r="9" spans="1:1" x14ac:dyDescent="0.25">
      <c r="A9" t="s">
        <v>49</v>
      </c>
    </row>
    <row r="10" spans="1:1" x14ac:dyDescent="0.25">
      <c r="A10" t="s">
        <v>48</v>
      </c>
    </row>
    <row r="11" spans="1:1" x14ac:dyDescent="0.25">
      <c r="A11" t="s">
        <v>69</v>
      </c>
    </row>
    <row r="12" spans="1:1" x14ac:dyDescent="0.25">
      <c r="A12" t="s">
        <v>61</v>
      </c>
    </row>
    <row r="13" spans="1:1" x14ac:dyDescent="0.25">
      <c r="A13" t="s">
        <v>62</v>
      </c>
    </row>
    <row r="14" spans="1:1" x14ac:dyDescent="0.25">
      <c r="A14" t="s">
        <v>75</v>
      </c>
    </row>
    <row r="15" spans="1:1" x14ac:dyDescent="0.25">
      <c r="A15" t="s">
        <v>76</v>
      </c>
    </row>
    <row r="16" spans="1:1" x14ac:dyDescent="0.25">
      <c r="A16" t="s">
        <v>63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B258"/>
  <sheetViews>
    <sheetView topLeftCell="A214" workbookViewId="0">
      <selection activeCell="B236" sqref="B236"/>
    </sheetView>
  </sheetViews>
  <sheetFormatPr defaultRowHeight="15" x14ac:dyDescent="0.25"/>
  <cols>
    <col min="1" max="1" width="10.7109375" bestFit="1" customWidth="1"/>
    <col min="2" max="2" width="26.140625" bestFit="1" customWidth="1"/>
  </cols>
  <sheetData>
    <row r="1" spans="1:2" x14ac:dyDescent="0.25">
      <c r="A1" t="s">
        <v>77</v>
      </c>
      <c r="B1" t="s">
        <v>78</v>
      </c>
    </row>
    <row r="2" spans="1:2" x14ac:dyDescent="0.25">
      <c r="A2" s="4">
        <v>35185</v>
      </c>
      <c r="B2">
        <v>86725</v>
      </c>
    </row>
    <row r="3" spans="1:2" x14ac:dyDescent="0.25">
      <c r="A3" s="4">
        <v>35216</v>
      </c>
      <c r="B3">
        <v>82900</v>
      </c>
    </row>
    <row r="4" spans="1:2" x14ac:dyDescent="0.25">
      <c r="A4" s="4">
        <v>35246</v>
      </c>
      <c r="B4">
        <v>79237.5</v>
      </c>
    </row>
    <row r="5" spans="1:2" x14ac:dyDescent="0.25">
      <c r="A5" s="4">
        <v>35277</v>
      </c>
      <c r="B5">
        <v>76912.5</v>
      </c>
    </row>
    <row r="6" spans="1:2" x14ac:dyDescent="0.25">
      <c r="A6" s="4">
        <v>35308</v>
      </c>
      <c r="B6">
        <v>79340</v>
      </c>
    </row>
    <row r="7" spans="1:2" x14ac:dyDescent="0.25">
      <c r="A7" s="4">
        <v>35338</v>
      </c>
      <c r="B7">
        <v>77735</v>
      </c>
    </row>
    <row r="8" spans="1:2" x14ac:dyDescent="0.25">
      <c r="A8" s="4">
        <v>35369</v>
      </c>
      <c r="B8">
        <v>74665</v>
      </c>
    </row>
    <row r="9" spans="1:2" x14ac:dyDescent="0.25">
      <c r="A9" s="4">
        <v>35399</v>
      </c>
      <c r="B9">
        <v>72185</v>
      </c>
    </row>
    <row r="10" spans="1:2" x14ac:dyDescent="0.25">
      <c r="A10" s="4">
        <v>35430</v>
      </c>
      <c r="B10">
        <v>69575</v>
      </c>
    </row>
    <row r="11" spans="1:2" x14ac:dyDescent="0.25">
      <c r="A11" s="4">
        <v>35461</v>
      </c>
      <c r="B11">
        <v>70100</v>
      </c>
    </row>
    <row r="12" spans="1:2" x14ac:dyDescent="0.25">
      <c r="A12" s="4">
        <v>35489</v>
      </c>
      <c r="B12">
        <v>72650</v>
      </c>
    </row>
    <row r="13" spans="1:2" x14ac:dyDescent="0.25">
      <c r="A13" s="4">
        <v>35520</v>
      </c>
      <c r="B13">
        <v>76975</v>
      </c>
    </row>
    <row r="14" spans="1:2" x14ac:dyDescent="0.25">
      <c r="A14" s="4">
        <v>35550</v>
      </c>
      <c r="B14">
        <v>81700</v>
      </c>
    </row>
    <row r="15" spans="1:2" x14ac:dyDescent="0.25">
      <c r="A15" s="4">
        <v>35581</v>
      </c>
      <c r="B15">
        <v>86215</v>
      </c>
    </row>
    <row r="16" spans="1:2" x14ac:dyDescent="0.25">
      <c r="A16" s="4">
        <v>35611</v>
      </c>
      <c r="B16">
        <v>84430</v>
      </c>
    </row>
    <row r="17" spans="1:2" x14ac:dyDescent="0.25">
      <c r="A17" s="4">
        <v>35642</v>
      </c>
      <c r="B17">
        <v>83231.5</v>
      </c>
    </row>
    <row r="18" spans="1:2" x14ac:dyDescent="0.25">
      <c r="A18" s="4">
        <v>35673</v>
      </c>
      <c r="B18">
        <v>82463.5</v>
      </c>
    </row>
    <row r="19" spans="1:2" x14ac:dyDescent="0.25">
      <c r="A19" s="4">
        <v>35703</v>
      </c>
      <c r="B19">
        <v>81325</v>
      </c>
    </row>
    <row r="20" spans="1:2" x14ac:dyDescent="0.25">
      <c r="A20" s="4">
        <v>35734</v>
      </c>
      <c r="B20">
        <v>82375</v>
      </c>
    </row>
    <row r="21" spans="1:2" x14ac:dyDescent="0.25">
      <c r="A21" s="4">
        <v>35764</v>
      </c>
      <c r="B21">
        <v>86400</v>
      </c>
    </row>
    <row r="22" spans="1:2" x14ac:dyDescent="0.25">
      <c r="A22" s="4">
        <v>35795</v>
      </c>
      <c r="B22">
        <v>90600</v>
      </c>
    </row>
    <row r="23" spans="1:2" x14ac:dyDescent="0.25">
      <c r="A23" s="4">
        <v>35826</v>
      </c>
      <c r="B23">
        <v>89775</v>
      </c>
    </row>
    <row r="24" spans="1:2" x14ac:dyDescent="0.25">
      <c r="A24" s="4">
        <v>35854</v>
      </c>
      <c r="B24">
        <v>91507.5</v>
      </c>
    </row>
    <row r="25" spans="1:2" x14ac:dyDescent="0.25">
      <c r="A25" s="4">
        <v>35885</v>
      </c>
      <c r="B25">
        <v>100982.5</v>
      </c>
    </row>
    <row r="26" spans="1:2" x14ac:dyDescent="0.25">
      <c r="A26" s="4">
        <v>35915</v>
      </c>
      <c r="B26">
        <v>99135</v>
      </c>
    </row>
    <row r="27" spans="1:2" x14ac:dyDescent="0.25">
      <c r="A27" s="4">
        <v>35946</v>
      </c>
      <c r="B27">
        <v>97835</v>
      </c>
    </row>
    <row r="28" spans="1:2" x14ac:dyDescent="0.25">
      <c r="A28" s="4">
        <v>35976</v>
      </c>
      <c r="B28">
        <v>96040</v>
      </c>
    </row>
    <row r="29" spans="1:2" x14ac:dyDescent="0.25">
      <c r="A29" s="4">
        <v>36007</v>
      </c>
      <c r="B29">
        <v>95690</v>
      </c>
    </row>
    <row r="30" spans="1:2" x14ac:dyDescent="0.25">
      <c r="A30" s="4">
        <v>36038</v>
      </c>
      <c r="B30">
        <v>95885</v>
      </c>
    </row>
    <row r="31" spans="1:2" x14ac:dyDescent="0.25">
      <c r="A31" s="4">
        <v>36068</v>
      </c>
      <c r="B31">
        <v>95525</v>
      </c>
    </row>
    <row r="32" spans="1:2" x14ac:dyDescent="0.25">
      <c r="A32" s="4">
        <v>36099</v>
      </c>
      <c r="B32">
        <v>96700</v>
      </c>
    </row>
    <row r="33" spans="1:2" x14ac:dyDescent="0.25">
      <c r="A33" s="4">
        <v>36129</v>
      </c>
      <c r="B33">
        <v>96132.5</v>
      </c>
    </row>
    <row r="34" spans="1:2" x14ac:dyDescent="0.25">
      <c r="A34" s="4">
        <v>36160</v>
      </c>
      <c r="B34">
        <v>96012.5</v>
      </c>
    </row>
    <row r="35" spans="1:2" x14ac:dyDescent="0.25">
      <c r="A35" s="4">
        <v>36191</v>
      </c>
      <c r="B35">
        <v>95380</v>
      </c>
    </row>
    <row r="36" spans="1:2" x14ac:dyDescent="0.25">
      <c r="A36" s="4">
        <v>36219</v>
      </c>
      <c r="B36">
        <v>96150</v>
      </c>
    </row>
    <row r="37" spans="1:2" x14ac:dyDescent="0.25">
      <c r="A37" s="4">
        <v>36250</v>
      </c>
      <c r="B37">
        <v>96950</v>
      </c>
    </row>
    <row r="38" spans="1:2" x14ac:dyDescent="0.25">
      <c r="A38" s="4">
        <v>36280</v>
      </c>
      <c r="B38">
        <v>97675</v>
      </c>
    </row>
    <row r="39" spans="1:2" x14ac:dyDescent="0.25">
      <c r="A39" s="4">
        <v>36311</v>
      </c>
      <c r="B39">
        <v>101375</v>
      </c>
    </row>
    <row r="40" spans="1:2" x14ac:dyDescent="0.25">
      <c r="A40" s="4">
        <v>36341</v>
      </c>
      <c r="B40">
        <v>104481.5</v>
      </c>
    </row>
    <row r="41" spans="1:2" x14ac:dyDescent="0.25">
      <c r="A41" s="4">
        <v>36372</v>
      </c>
      <c r="B41">
        <v>106381.55</v>
      </c>
    </row>
    <row r="42" spans="1:2" x14ac:dyDescent="0.25">
      <c r="A42" s="4">
        <v>36403</v>
      </c>
      <c r="B42">
        <v>104369.95</v>
      </c>
    </row>
    <row r="43" spans="1:2" x14ac:dyDescent="0.25">
      <c r="A43" s="4">
        <v>36433</v>
      </c>
      <c r="B43">
        <v>99200</v>
      </c>
    </row>
    <row r="44" spans="1:2" x14ac:dyDescent="0.25">
      <c r="A44" s="4">
        <v>36464</v>
      </c>
      <c r="B44">
        <v>98240</v>
      </c>
    </row>
    <row r="45" spans="1:2" x14ac:dyDescent="0.25">
      <c r="A45" s="4">
        <v>36494</v>
      </c>
      <c r="B45">
        <v>95292.5</v>
      </c>
    </row>
    <row r="46" spans="1:2" x14ac:dyDescent="0.25">
      <c r="A46" s="4">
        <v>36525</v>
      </c>
      <c r="B46">
        <v>93542.5</v>
      </c>
    </row>
    <row r="47" spans="1:2" x14ac:dyDescent="0.25">
      <c r="A47" s="4">
        <v>36556</v>
      </c>
      <c r="B47">
        <v>94900</v>
      </c>
    </row>
    <row r="48" spans="1:2" x14ac:dyDescent="0.25">
      <c r="A48" s="4">
        <v>36585</v>
      </c>
      <c r="B48">
        <v>93680</v>
      </c>
    </row>
    <row r="49" spans="1:2" x14ac:dyDescent="0.25">
      <c r="A49" s="4">
        <v>36616</v>
      </c>
      <c r="B49">
        <v>95120</v>
      </c>
    </row>
    <row r="50" spans="1:2" x14ac:dyDescent="0.25">
      <c r="A50" s="4">
        <v>36646</v>
      </c>
      <c r="B50">
        <v>96325</v>
      </c>
    </row>
    <row r="51" spans="1:2" x14ac:dyDescent="0.25">
      <c r="A51" s="4">
        <v>36677</v>
      </c>
      <c r="B51">
        <v>99605</v>
      </c>
    </row>
    <row r="52" spans="1:2" x14ac:dyDescent="0.25">
      <c r="A52" s="4">
        <v>36707</v>
      </c>
      <c r="B52">
        <v>103795</v>
      </c>
    </row>
    <row r="53" spans="1:2" x14ac:dyDescent="0.25">
      <c r="A53" s="4">
        <v>36738</v>
      </c>
      <c r="B53">
        <v>107054</v>
      </c>
    </row>
    <row r="54" spans="1:2" x14ac:dyDescent="0.25">
      <c r="A54" s="4">
        <v>36769</v>
      </c>
      <c r="B54">
        <v>106062.8</v>
      </c>
    </row>
    <row r="55" spans="1:2" x14ac:dyDescent="0.25">
      <c r="A55" s="4">
        <v>36799</v>
      </c>
      <c r="B55">
        <v>102691.2</v>
      </c>
    </row>
    <row r="56" spans="1:2" x14ac:dyDescent="0.25">
      <c r="A56" s="4">
        <v>36830</v>
      </c>
      <c r="B56">
        <v>100600</v>
      </c>
    </row>
    <row r="57" spans="1:2" x14ac:dyDescent="0.25">
      <c r="A57" s="4">
        <v>36860</v>
      </c>
      <c r="B57">
        <v>100000</v>
      </c>
    </row>
    <row r="58" spans="1:2" x14ac:dyDescent="0.25">
      <c r="A58" s="4">
        <v>36891</v>
      </c>
      <c r="B58">
        <v>96619.5</v>
      </c>
    </row>
    <row r="59" spans="1:2" x14ac:dyDescent="0.25">
      <c r="A59" s="4">
        <v>36922</v>
      </c>
      <c r="B59">
        <v>95983.65</v>
      </c>
    </row>
    <row r="60" spans="1:2" x14ac:dyDescent="0.25">
      <c r="A60" s="4">
        <v>36950</v>
      </c>
      <c r="B60">
        <v>99330.85</v>
      </c>
    </row>
    <row r="61" spans="1:2" x14ac:dyDescent="0.25">
      <c r="A61" s="4">
        <v>36981</v>
      </c>
      <c r="B61">
        <v>102555</v>
      </c>
    </row>
    <row r="62" spans="1:2" x14ac:dyDescent="0.25">
      <c r="A62" s="4">
        <v>37011</v>
      </c>
      <c r="B62">
        <v>105712.5</v>
      </c>
    </row>
    <row r="63" spans="1:2" x14ac:dyDescent="0.25">
      <c r="A63" s="4">
        <v>37042</v>
      </c>
      <c r="B63">
        <v>108253.75</v>
      </c>
    </row>
    <row r="64" spans="1:2" x14ac:dyDescent="0.25">
      <c r="A64" s="4">
        <v>37072</v>
      </c>
      <c r="B64">
        <v>112123.75</v>
      </c>
    </row>
    <row r="65" spans="1:2" x14ac:dyDescent="0.25">
      <c r="A65" s="4">
        <v>37103</v>
      </c>
      <c r="B65">
        <v>113639.5</v>
      </c>
    </row>
    <row r="66" spans="1:2" x14ac:dyDescent="0.25">
      <c r="A66" s="4">
        <v>37134</v>
      </c>
      <c r="B66">
        <v>112240.15</v>
      </c>
    </row>
    <row r="67" spans="1:2" x14ac:dyDescent="0.25">
      <c r="A67" s="4">
        <v>37164</v>
      </c>
      <c r="B67">
        <v>111681.25</v>
      </c>
    </row>
    <row r="68" spans="1:2" x14ac:dyDescent="0.25">
      <c r="A68" s="4">
        <v>37195</v>
      </c>
      <c r="B68">
        <v>105697.1</v>
      </c>
    </row>
    <row r="69" spans="1:2" x14ac:dyDescent="0.25">
      <c r="A69" s="4">
        <v>37225</v>
      </c>
      <c r="B69">
        <v>103015</v>
      </c>
    </row>
    <row r="70" spans="1:2" x14ac:dyDescent="0.25">
      <c r="A70" s="4">
        <v>37256</v>
      </c>
      <c r="B70">
        <v>103302.5</v>
      </c>
    </row>
    <row r="71" spans="1:2" x14ac:dyDescent="0.25">
      <c r="A71" s="4">
        <v>37287</v>
      </c>
      <c r="B71">
        <v>102297.25</v>
      </c>
    </row>
    <row r="72" spans="1:2" x14ac:dyDescent="0.25">
      <c r="A72" s="4">
        <v>37315</v>
      </c>
      <c r="B72">
        <v>103422.5</v>
      </c>
    </row>
    <row r="73" spans="1:2" x14ac:dyDescent="0.25">
      <c r="A73" s="4">
        <v>37346</v>
      </c>
      <c r="B73">
        <v>103942.45</v>
      </c>
    </row>
    <row r="74" spans="1:2" x14ac:dyDescent="0.25">
      <c r="A74" s="4">
        <v>37376</v>
      </c>
      <c r="B74">
        <v>105732.3</v>
      </c>
    </row>
    <row r="75" spans="1:2" x14ac:dyDescent="0.25">
      <c r="A75" s="4">
        <v>37407</v>
      </c>
      <c r="B75">
        <v>109530</v>
      </c>
    </row>
    <row r="76" spans="1:2" x14ac:dyDescent="0.25">
      <c r="A76" s="4">
        <v>37437</v>
      </c>
      <c r="B76">
        <v>113215</v>
      </c>
    </row>
    <row r="77" spans="1:2" x14ac:dyDescent="0.25">
      <c r="A77" s="4">
        <v>37468</v>
      </c>
      <c r="B77">
        <v>115790</v>
      </c>
    </row>
    <row r="78" spans="1:2" x14ac:dyDescent="0.25">
      <c r="A78" s="4">
        <v>37499</v>
      </c>
      <c r="B78">
        <v>114495</v>
      </c>
    </row>
    <row r="79" spans="1:2" x14ac:dyDescent="0.25">
      <c r="A79" s="4">
        <v>37529</v>
      </c>
      <c r="B79">
        <v>110425</v>
      </c>
    </row>
    <row r="80" spans="1:2" x14ac:dyDescent="0.25">
      <c r="A80" s="4">
        <v>37560</v>
      </c>
      <c r="B80">
        <v>106380</v>
      </c>
    </row>
    <row r="81" spans="1:2" x14ac:dyDescent="0.25">
      <c r="A81" s="4">
        <v>37590</v>
      </c>
      <c r="B81">
        <v>105438.5</v>
      </c>
    </row>
    <row r="82" spans="1:2" x14ac:dyDescent="0.25">
      <c r="A82" s="4">
        <v>37621</v>
      </c>
      <c r="B82">
        <v>105631.5</v>
      </c>
    </row>
    <row r="83" spans="1:2" x14ac:dyDescent="0.25">
      <c r="A83" s="4">
        <v>37652</v>
      </c>
      <c r="B83">
        <v>103177.5</v>
      </c>
    </row>
    <row r="84" spans="1:2" x14ac:dyDescent="0.25">
      <c r="A84" s="4">
        <v>37680</v>
      </c>
      <c r="B84">
        <v>104044.25</v>
      </c>
    </row>
    <row r="85" spans="1:2" x14ac:dyDescent="0.25">
      <c r="A85" s="4">
        <v>37711</v>
      </c>
      <c r="B85">
        <v>107168.25</v>
      </c>
    </row>
    <row r="86" spans="1:2" x14ac:dyDescent="0.25">
      <c r="A86" s="4">
        <v>37741</v>
      </c>
      <c r="B86">
        <v>110900</v>
      </c>
    </row>
    <row r="87" spans="1:2" x14ac:dyDescent="0.25">
      <c r="A87" s="4">
        <v>37772</v>
      </c>
      <c r="B87">
        <v>114389</v>
      </c>
    </row>
    <row r="88" spans="1:2" x14ac:dyDescent="0.25">
      <c r="A88" s="4">
        <v>37802</v>
      </c>
      <c r="B88">
        <v>116787.3</v>
      </c>
    </row>
    <row r="89" spans="1:2" x14ac:dyDescent="0.25">
      <c r="A89" s="4">
        <v>37833</v>
      </c>
      <c r="B89">
        <v>118751.7</v>
      </c>
    </row>
    <row r="90" spans="1:2" x14ac:dyDescent="0.25">
      <c r="A90" s="4">
        <v>37864</v>
      </c>
      <c r="B90">
        <v>121415</v>
      </c>
    </row>
    <row r="91" spans="1:2" x14ac:dyDescent="0.25">
      <c r="A91" s="4">
        <v>37894</v>
      </c>
      <c r="B91">
        <v>122460</v>
      </c>
    </row>
    <row r="92" spans="1:2" x14ac:dyDescent="0.25">
      <c r="A92" s="4">
        <v>37925</v>
      </c>
      <c r="B92">
        <v>119650</v>
      </c>
    </row>
    <row r="93" spans="1:2" x14ac:dyDescent="0.25">
      <c r="A93" s="4">
        <v>37955</v>
      </c>
      <c r="B93">
        <v>117100</v>
      </c>
    </row>
    <row r="94" spans="1:2" x14ac:dyDescent="0.25">
      <c r="A94" s="4">
        <v>37986</v>
      </c>
      <c r="B94">
        <v>116540</v>
      </c>
    </row>
    <row r="95" spans="1:2" x14ac:dyDescent="0.25">
      <c r="A95" s="4">
        <v>38017</v>
      </c>
      <c r="B95">
        <v>114835</v>
      </c>
    </row>
    <row r="96" spans="1:2" x14ac:dyDescent="0.25">
      <c r="A96" s="4">
        <v>38046</v>
      </c>
      <c r="B96">
        <v>117350</v>
      </c>
    </row>
    <row r="97" spans="1:2" x14ac:dyDescent="0.25">
      <c r="A97" s="4">
        <v>38077</v>
      </c>
      <c r="B97">
        <v>117625</v>
      </c>
    </row>
    <row r="98" spans="1:2" x14ac:dyDescent="0.25">
      <c r="A98" s="4">
        <v>38107</v>
      </c>
      <c r="B98">
        <v>121525</v>
      </c>
    </row>
    <row r="99" spans="1:2" x14ac:dyDescent="0.25">
      <c r="A99" s="4">
        <v>38138</v>
      </c>
      <c r="B99">
        <v>128750</v>
      </c>
    </row>
    <row r="100" spans="1:2" x14ac:dyDescent="0.25">
      <c r="A100" s="4">
        <v>38168</v>
      </c>
      <c r="B100">
        <v>134590</v>
      </c>
    </row>
    <row r="101" spans="1:2" x14ac:dyDescent="0.25">
      <c r="A101" s="4">
        <v>38199</v>
      </c>
      <c r="B101">
        <v>134022.5</v>
      </c>
    </row>
    <row r="102" spans="1:2" x14ac:dyDescent="0.25">
      <c r="A102" s="4">
        <v>38230</v>
      </c>
      <c r="B102">
        <v>129562.5</v>
      </c>
    </row>
    <row r="103" spans="1:2" x14ac:dyDescent="0.25">
      <c r="A103" s="4">
        <v>38260</v>
      </c>
      <c r="B103">
        <v>127650</v>
      </c>
    </row>
    <row r="104" spans="1:2" x14ac:dyDescent="0.25">
      <c r="A104" s="4">
        <v>38291</v>
      </c>
      <c r="B104">
        <v>124337</v>
      </c>
    </row>
    <row r="105" spans="1:2" x14ac:dyDescent="0.25">
      <c r="A105" s="4">
        <v>38321</v>
      </c>
      <c r="B105">
        <v>123683</v>
      </c>
    </row>
    <row r="106" spans="1:2" x14ac:dyDescent="0.25">
      <c r="A106" s="4">
        <v>38352</v>
      </c>
      <c r="B106">
        <v>125075</v>
      </c>
    </row>
    <row r="107" spans="1:2" x14ac:dyDescent="0.25">
      <c r="A107" s="4">
        <v>38383</v>
      </c>
      <c r="B107">
        <v>126840</v>
      </c>
    </row>
    <row r="108" spans="1:2" x14ac:dyDescent="0.25">
      <c r="A108" s="4">
        <v>38411</v>
      </c>
      <c r="B108">
        <v>126109</v>
      </c>
    </row>
    <row r="109" spans="1:2" x14ac:dyDescent="0.25">
      <c r="A109" s="4">
        <v>38442</v>
      </c>
      <c r="B109">
        <v>126775.05</v>
      </c>
    </row>
    <row r="110" spans="1:2" x14ac:dyDescent="0.25">
      <c r="A110" s="4">
        <v>38472</v>
      </c>
      <c r="B110">
        <v>129983.95</v>
      </c>
    </row>
    <row r="111" spans="1:2" x14ac:dyDescent="0.25">
      <c r="A111" s="4">
        <v>38503</v>
      </c>
      <c r="B111">
        <v>134245</v>
      </c>
    </row>
    <row r="112" spans="1:2" x14ac:dyDescent="0.25">
      <c r="A112" s="4">
        <v>38533</v>
      </c>
      <c r="B112">
        <v>138407</v>
      </c>
    </row>
    <row r="113" spans="1:2" x14ac:dyDescent="0.25">
      <c r="A113" s="4">
        <v>38564</v>
      </c>
      <c r="B113">
        <v>140988</v>
      </c>
    </row>
    <row r="114" spans="1:2" x14ac:dyDescent="0.25">
      <c r="A114" s="4">
        <v>38595</v>
      </c>
      <c r="B114">
        <v>143784.5</v>
      </c>
    </row>
    <row r="115" spans="1:2" x14ac:dyDescent="0.25">
      <c r="A115" s="4">
        <v>38625</v>
      </c>
      <c r="B115">
        <v>143478</v>
      </c>
    </row>
    <row r="116" spans="1:2" x14ac:dyDescent="0.25">
      <c r="A116" s="4">
        <v>38656</v>
      </c>
      <c r="B116">
        <v>143513.5</v>
      </c>
    </row>
    <row r="117" spans="1:2" x14ac:dyDescent="0.25">
      <c r="A117" s="4">
        <v>38686</v>
      </c>
      <c r="B117">
        <v>140949.1</v>
      </c>
    </row>
    <row r="118" spans="1:2" x14ac:dyDescent="0.25">
      <c r="A118" s="4">
        <v>38717</v>
      </c>
      <c r="B118">
        <v>138222.9</v>
      </c>
    </row>
    <row r="119" spans="1:2" x14ac:dyDescent="0.25">
      <c r="A119" s="4">
        <v>38748</v>
      </c>
      <c r="B119">
        <v>138498</v>
      </c>
    </row>
    <row r="120" spans="1:2" x14ac:dyDescent="0.25">
      <c r="A120" s="4">
        <v>38776</v>
      </c>
      <c r="B120">
        <v>142445</v>
      </c>
    </row>
    <row r="121" spans="1:2" x14ac:dyDescent="0.25">
      <c r="A121" s="4">
        <v>38807</v>
      </c>
      <c r="B121">
        <v>145300</v>
      </c>
    </row>
    <row r="122" spans="1:2" x14ac:dyDescent="0.25">
      <c r="A122" s="4">
        <v>38837</v>
      </c>
      <c r="B122">
        <v>145390</v>
      </c>
    </row>
    <row r="123" spans="1:2" x14ac:dyDescent="0.25">
      <c r="A123" s="4">
        <v>38868</v>
      </c>
      <c r="B123">
        <v>147557</v>
      </c>
    </row>
    <row r="124" spans="1:2" x14ac:dyDescent="0.25">
      <c r="A124" s="4">
        <v>38898</v>
      </c>
      <c r="B124">
        <v>150390.39999999999</v>
      </c>
    </row>
    <row r="125" spans="1:2" x14ac:dyDescent="0.25">
      <c r="A125" s="4">
        <v>38929</v>
      </c>
      <c r="B125">
        <v>153421.6</v>
      </c>
    </row>
    <row r="126" spans="1:2" x14ac:dyDescent="0.25">
      <c r="A126" s="4">
        <v>38960</v>
      </c>
      <c r="B126">
        <v>152228</v>
      </c>
    </row>
    <row r="127" spans="1:2" x14ac:dyDescent="0.25">
      <c r="A127" s="4">
        <v>38990</v>
      </c>
      <c r="B127">
        <v>148518.35</v>
      </c>
    </row>
    <row r="128" spans="1:2" x14ac:dyDescent="0.25">
      <c r="A128" s="4">
        <v>39021</v>
      </c>
      <c r="B128">
        <v>147409.65</v>
      </c>
    </row>
    <row r="129" spans="1:2" x14ac:dyDescent="0.25">
      <c r="A129" s="4">
        <v>39051</v>
      </c>
      <c r="B129">
        <v>145960</v>
      </c>
    </row>
    <row r="130" spans="1:2" x14ac:dyDescent="0.25">
      <c r="A130" s="4">
        <v>39082</v>
      </c>
      <c r="B130">
        <v>145295</v>
      </c>
    </row>
    <row r="131" spans="1:2" x14ac:dyDescent="0.25">
      <c r="A131" s="4">
        <v>39113</v>
      </c>
      <c r="B131">
        <v>145545</v>
      </c>
    </row>
    <row r="132" spans="1:2" x14ac:dyDescent="0.25">
      <c r="A132" s="4">
        <v>39141</v>
      </c>
      <c r="B132">
        <v>148335.5</v>
      </c>
    </row>
    <row r="133" spans="1:2" x14ac:dyDescent="0.25">
      <c r="A133" s="4">
        <v>39172</v>
      </c>
      <c r="B133">
        <v>146726.6</v>
      </c>
    </row>
    <row r="134" spans="1:2" x14ac:dyDescent="0.25">
      <c r="A134" s="4">
        <v>39202</v>
      </c>
      <c r="B134">
        <v>148023.9</v>
      </c>
    </row>
    <row r="135" spans="1:2" x14ac:dyDescent="0.25">
      <c r="A135" s="4">
        <v>39233</v>
      </c>
      <c r="B135">
        <v>151550</v>
      </c>
    </row>
    <row r="136" spans="1:2" x14ac:dyDescent="0.25">
      <c r="A136" s="4">
        <v>39263</v>
      </c>
      <c r="B136">
        <v>158715</v>
      </c>
    </row>
    <row r="137" spans="1:2" x14ac:dyDescent="0.25">
      <c r="A137" s="4">
        <v>39294</v>
      </c>
      <c r="B137">
        <v>165135</v>
      </c>
    </row>
    <row r="138" spans="1:2" x14ac:dyDescent="0.25">
      <c r="A138" s="4">
        <v>39325</v>
      </c>
      <c r="B138">
        <v>168200</v>
      </c>
    </row>
    <row r="139" spans="1:2" x14ac:dyDescent="0.25">
      <c r="A139" s="4">
        <v>39355</v>
      </c>
      <c r="B139">
        <v>164043</v>
      </c>
    </row>
    <row r="140" spans="1:2" x14ac:dyDescent="0.25">
      <c r="A140" s="4">
        <v>39386</v>
      </c>
      <c r="B140">
        <v>156039.6</v>
      </c>
    </row>
    <row r="141" spans="1:2" x14ac:dyDescent="0.25">
      <c r="A141" s="4">
        <v>39416</v>
      </c>
      <c r="B141">
        <v>151623.4</v>
      </c>
    </row>
    <row r="142" spans="1:2" x14ac:dyDescent="0.25">
      <c r="A142" s="4">
        <v>39447</v>
      </c>
      <c r="B142">
        <v>150266</v>
      </c>
    </row>
    <row r="143" spans="1:2" x14ac:dyDescent="0.25">
      <c r="A143" s="4">
        <v>39478</v>
      </c>
      <c r="B143">
        <v>150088.70000000001</v>
      </c>
    </row>
    <row r="144" spans="1:2" x14ac:dyDescent="0.25">
      <c r="A144" s="4">
        <v>39507</v>
      </c>
      <c r="B144">
        <v>148992.29999999999</v>
      </c>
    </row>
    <row r="145" spans="1:2" x14ac:dyDescent="0.25">
      <c r="A145" s="4">
        <v>39538</v>
      </c>
      <c r="B145">
        <v>149660</v>
      </c>
    </row>
    <row r="146" spans="1:2" x14ac:dyDescent="0.25">
      <c r="A146" s="4">
        <v>39568</v>
      </c>
      <c r="B146">
        <v>151912.5</v>
      </c>
    </row>
    <row r="147" spans="1:2" x14ac:dyDescent="0.25">
      <c r="A147" s="4">
        <v>39599</v>
      </c>
      <c r="B147">
        <v>154677.5</v>
      </c>
    </row>
    <row r="148" spans="1:2" x14ac:dyDescent="0.25">
      <c r="A148" s="4">
        <v>39629</v>
      </c>
      <c r="B148">
        <v>158825</v>
      </c>
    </row>
    <row r="149" spans="1:2" x14ac:dyDescent="0.25">
      <c r="A149" s="4">
        <v>39660</v>
      </c>
      <c r="B149">
        <v>160300</v>
      </c>
    </row>
    <row r="150" spans="1:2" x14ac:dyDescent="0.25">
      <c r="A150" s="4">
        <v>39691</v>
      </c>
      <c r="B150">
        <v>155398</v>
      </c>
    </row>
    <row r="151" spans="1:2" x14ac:dyDescent="0.25">
      <c r="A151" s="4">
        <v>39721</v>
      </c>
      <c r="B151">
        <v>149542</v>
      </c>
    </row>
    <row r="152" spans="1:2" x14ac:dyDescent="0.25">
      <c r="A152" s="4">
        <v>39752</v>
      </c>
      <c r="B152">
        <v>148600</v>
      </c>
    </row>
    <row r="153" spans="1:2" x14ac:dyDescent="0.25">
      <c r="A153" s="4">
        <v>39782</v>
      </c>
      <c r="B153">
        <v>147375</v>
      </c>
    </row>
    <row r="154" spans="1:2" x14ac:dyDescent="0.25">
      <c r="A154" s="4">
        <v>39813</v>
      </c>
      <c r="B154">
        <v>147582.5</v>
      </c>
    </row>
    <row r="155" spans="1:2" x14ac:dyDescent="0.25">
      <c r="A155" s="4">
        <v>39844</v>
      </c>
      <c r="B155">
        <v>143692.5</v>
      </c>
    </row>
    <row r="156" spans="1:2" x14ac:dyDescent="0.25">
      <c r="A156" s="4">
        <v>39872</v>
      </c>
      <c r="B156">
        <v>144013.5</v>
      </c>
    </row>
    <row r="157" spans="1:2" x14ac:dyDescent="0.25">
      <c r="A157" s="4">
        <v>39903</v>
      </c>
      <c r="B157">
        <v>144469.45000000001</v>
      </c>
    </row>
    <row r="158" spans="1:2" x14ac:dyDescent="0.25">
      <c r="A158" s="4">
        <v>39933</v>
      </c>
      <c r="B158">
        <v>144594.04999999999</v>
      </c>
    </row>
    <row r="159" spans="1:2" x14ac:dyDescent="0.25">
      <c r="A159" s="4">
        <v>39964</v>
      </c>
      <c r="B159">
        <v>143105</v>
      </c>
    </row>
    <row r="160" spans="1:2" x14ac:dyDescent="0.25">
      <c r="A160" s="4">
        <v>39994</v>
      </c>
      <c r="B160">
        <v>147189.5</v>
      </c>
    </row>
    <row r="161" spans="1:2" x14ac:dyDescent="0.25">
      <c r="A161" s="4">
        <v>40025</v>
      </c>
      <c r="B161">
        <v>149255</v>
      </c>
    </row>
    <row r="162" spans="1:2" x14ac:dyDescent="0.25">
      <c r="A162" s="4">
        <v>40056</v>
      </c>
      <c r="B162">
        <v>145130</v>
      </c>
    </row>
    <row r="163" spans="1:2" x14ac:dyDescent="0.25">
      <c r="A163" s="4">
        <v>40086</v>
      </c>
      <c r="B163">
        <v>145278.25</v>
      </c>
    </row>
    <row r="164" spans="1:2" x14ac:dyDescent="0.25">
      <c r="A164" s="4">
        <v>40117</v>
      </c>
      <c r="B164">
        <v>140137.5</v>
      </c>
    </row>
    <row r="165" spans="1:2" x14ac:dyDescent="0.25">
      <c r="A165" s="4">
        <v>40147</v>
      </c>
      <c r="B165">
        <v>140596.25</v>
      </c>
    </row>
    <row r="166" spans="1:2" x14ac:dyDescent="0.25">
      <c r="A166" s="4">
        <v>40178</v>
      </c>
      <c r="B166">
        <v>137489.29999999999</v>
      </c>
    </row>
    <row r="167" spans="1:2" x14ac:dyDescent="0.25">
      <c r="A167" s="4">
        <v>40209</v>
      </c>
      <c r="B167">
        <v>135583.95000000001</v>
      </c>
    </row>
    <row r="168" spans="1:2" x14ac:dyDescent="0.25">
      <c r="A168" s="4">
        <v>40237</v>
      </c>
      <c r="B168">
        <v>131215</v>
      </c>
    </row>
    <row r="169" spans="1:2" x14ac:dyDescent="0.25">
      <c r="A169" s="4">
        <v>40268</v>
      </c>
      <c r="B169">
        <v>132950</v>
      </c>
    </row>
    <row r="170" spans="1:2" x14ac:dyDescent="0.25">
      <c r="A170" s="4">
        <v>40298</v>
      </c>
      <c r="B170">
        <v>138401.29999999999</v>
      </c>
    </row>
    <row r="171" spans="1:2" x14ac:dyDescent="0.25">
      <c r="A171" s="4">
        <v>40329</v>
      </c>
      <c r="B171">
        <v>142900</v>
      </c>
    </row>
    <row r="172" spans="1:2" x14ac:dyDescent="0.25">
      <c r="A172" s="4">
        <v>40359</v>
      </c>
      <c r="B172">
        <v>142664.15</v>
      </c>
    </row>
    <row r="173" spans="1:2" x14ac:dyDescent="0.25">
      <c r="A173" s="4">
        <v>40390</v>
      </c>
      <c r="B173">
        <v>146150</v>
      </c>
    </row>
    <row r="174" spans="1:2" x14ac:dyDescent="0.25">
      <c r="A174" s="4">
        <v>40421</v>
      </c>
      <c r="B174">
        <v>139125</v>
      </c>
    </row>
    <row r="175" spans="1:2" x14ac:dyDescent="0.25">
      <c r="A175" s="4">
        <v>40451</v>
      </c>
      <c r="B175">
        <v>134800</v>
      </c>
    </row>
    <row r="176" spans="1:2" x14ac:dyDescent="0.25">
      <c r="A176" s="4">
        <v>40482</v>
      </c>
      <c r="B176">
        <v>134000</v>
      </c>
    </row>
    <row r="177" spans="1:2" x14ac:dyDescent="0.25">
      <c r="A177" s="4">
        <v>40512</v>
      </c>
      <c r="B177">
        <v>139650</v>
      </c>
    </row>
    <row r="178" spans="1:2" x14ac:dyDescent="0.25">
      <c r="A178" s="4">
        <v>40543</v>
      </c>
      <c r="B178">
        <v>140002.79999999999</v>
      </c>
    </row>
    <row r="179" spans="1:2" x14ac:dyDescent="0.25">
      <c r="A179" s="4">
        <v>40574</v>
      </c>
      <c r="B179">
        <v>138472</v>
      </c>
    </row>
    <row r="180" spans="1:2" x14ac:dyDescent="0.25">
      <c r="A180" s="4">
        <v>40602</v>
      </c>
      <c r="B180">
        <v>134585</v>
      </c>
    </row>
    <row r="181" spans="1:2" x14ac:dyDescent="0.25">
      <c r="A181" s="4">
        <v>40633</v>
      </c>
      <c r="B181">
        <v>135140.45000000001</v>
      </c>
    </row>
    <row r="182" spans="1:2" x14ac:dyDescent="0.25">
      <c r="A182" s="4">
        <v>40663</v>
      </c>
      <c r="B182">
        <v>136580</v>
      </c>
    </row>
    <row r="183" spans="1:2" x14ac:dyDescent="0.25">
      <c r="A183" s="4">
        <v>40694</v>
      </c>
      <c r="B183">
        <v>140215</v>
      </c>
    </row>
    <row r="184" spans="1:2" x14ac:dyDescent="0.25">
      <c r="A184" s="4">
        <v>40724</v>
      </c>
      <c r="B184">
        <v>141746.25</v>
      </c>
    </row>
    <row r="185" spans="1:2" x14ac:dyDescent="0.25">
      <c r="A185" s="4">
        <v>40755</v>
      </c>
      <c r="B185">
        <v>141056.5</v>
      </c>
    </row>
    <row r="186" spans="1:2" x14ac:dyDescent="0.25">
      <c r="A186" s="4">
        <v>40786</v>
      </c>
      <c r="B186">
        <v>139059.5</v>
      </c>
    </row>
    <row r="187" spans="1:2" x14ac:dyDescent="0.25">
      <c r="A187" s="4">
        <v>40816</v>
      </c>
      <c r="B187">
        <v>134880</v>
      </c>
    </row>
    <row r="188" spans="1:2" x14ac:dyDescent="0.25">
      <c r="A188" s="4">
        <v>40847</v>
      </c>
      <c r="B188">
        <v>135420</v>
      </c>
    </row>
    <row r="189" spans="1:2" x14ac:dyDescent="0.25">
      <c r="A189" s="4">
        <v>40877</v>
      </c>
      <c r="B189">
        <v>135440</v>
      </c>
    </row>
    <row r="190" spans="1:2" x14ac:dyDescent="0.25">
      <c r="A190" s="4">
        <v>40908</v>
      </c>
      <c r="B190">
        <v>131103.45000000001</v>
      </c>
    </row>
    <row r="191" spans="1:2" x14ac:dyDescent="0.25">
      <c r="A191" s="4">
        <v>40939</v>
      </c>
      <c r="B191">
        <v>125300</v>
      </c>
    </row>
    <row r="192" spans="1:2" x14ac:dyDescent="0.25">
      <c r="A192" s="4">
        <v>40968</v>
      </c>
      <c r="B192">
        <v>126500</v>
      </c>
    </row>
    <row r="193" spans="1:2" x14ac:dyDescent="0.25">
      <c r="A193" s="4">
        <v>40999</v>
      </c>
      <c r="B193">
        <v>132810</v>
      </c>
    </row>
    <row r="194" spans="1:2" x14ac:dyDescent="0.25">
      <c r="A194" s="4">
        <v>41029</v>
      </c>
      <c r="B194">
        <v>137025</v>
      </c>
    </row>
    <row r="195" spans="1:2" x14ac:dyDescent="0.25">
      <c r="A195" s="4">
        <v>41060</v>
      </c>
      <c r="B195">
        <v>141900</v>
      </c>
    </row>
    <row r="196" spans="1:2" x14ac:dyDescent="0.25">
      <c r="A196" s="4">
        <v>41090</v>
      </c>
      <c r="B196">
        <v>147125</v>
      </c>
    </row>
    <row r="197" spans="1:2" x14ac:dyDescent="0.25">
      <c r="A197" s="4">
        <v>41121</v>
      </c>
      <c r="B197">
        <v>145666.45000000001</v>
      </c>
    </row>
    <row r="198" spans="1:2" x14ac:dyDescent="0.25">
      <c r="A198" s="4">
        <v>41152</v>
      </c>
      <c r="B198">
        <v>142146.45000000001</v>
      </c>
    </row>
    <row r="199" spans="1:2" x14ac:dyDescent="0.25">
      <c r="A199" s="4">
        <v>41182</v>
      </c>
      <c r="B199">
        <v>137350</v>
      </c>
    </row>
    <row r="200" spans="1:2" x14ac:dyDescent="0.25">
      <c r="A200" s="4">
        <v>41213</v>
      </c>
      <c r="B200">
        <v>135525</v>
      </c>
    </row>
    <row r="201" spans="1:2" x14ac:dyDescent="0.25">
      <c r="A201" s="4">
        <v>41243</v>
      </c>
      <c r="B201">
        <v>137484.6</v>
      </c>
    </row>
    <row r="202" spans="1:2" x14ac:dyDescent="0.25">
      <c r="A202" s="4">
        <v>41274</v>
      </c>
      <c r="B202">
        <v>140235</v>
      </c>
    </row>
    <row r="203" spans="1:2" x14ac:dyDescent="0.25">
      <c r="A203" s="4">
        <v>41305</v>
      </c>
      <c r="B203">
        <v>131950</v>
      </c>
    </row>
    <row r="204" spans="1:2" x14ac:dyDescent="0.25">
      <c r="A204" s="4">
        <v>41333</v>
      </c>
      <c r="B204">
        <v>126661.35</v>
      </c>
    </row>
    <row r="205" spans="1:2" x14ac:dyDescent="0.25">
      <c r="A205" s="4">
        <v>41364</v>
      </c>
      <c r="B205">
        <v>127402.15</v>
      </c>
    </row>
    <row r="206" spans="1:2" x14ac:dyDescent="0.25">
      <c r="A206" s="4">
        <v>41394</v>
      </c>
      <c r="B206">
        <v>132369</v>
      </c>
    </row>
    <row r="207" spans="1:2" x14ac:dyDescent="0.25">
      <c r="A207" s="4">
        <v>41425</v>
      </c>
      <c r="B207">
        <v>138600</v>
      </c>
    </row>
    <row r="208" spans="1:2" x14ac:dyDescent="0.25">
      <c r="A208" s="4">
        <v>41455</v>
      </c>
      <c r="B208">
        <v>144395.35</v>
      </c>
    </row>
    <row r="209" spans="1:2" x14ac:dyDescent="0.25">
      <c r="A209" s="4">
        <v>41486</v>
      </c>
      <c r="B209">
        <v>147661.79999999999</v>
      </c>
    </row>
    <row r="210" spans="1:2" x14ac:dyDescent="0.25">
      <c r="A210" s="4">
        <v>41517</v>
      </c>
      <c r="B210">
        <v>140069.25</v>
      </c>
    </row>
    <row r="211" spans="1:2" x14ac:dyDescent="0.25">
      <c r="A211" s="4">
        <v>41547</v>
      </c>
      <c r="B211">
        <v>137316.75</v>
      </c>
    </row>
    <row r="212" spans="1:2" x14ac:dyDescent="0.25">
      <c r="A212" s="4">
        <v>41578</v>
      </c>
      <c r="B212">
        <v>139950</v>
      </c>
    </row>
    <row r="213" spans="1:2" x14ac:dyDescent="0.25">
      <c r="A213" s="4">
        <v>41608</v>
      </c>
      <c r="B213">
        <v>139400</v>
      </c>
    </row>
    <row r="214" spans="1:2" x14ac:dyDescent="0.25">
      <c r="A214" s="4">
        <v>41639</v>
      </c>
      <c r="B214">
        <v>138757.5</v>
      </c>
    </row>
    <row r="215" spans="1:2" x14ac:dyDescent="0.25">
      <c r="A215" s="4">
        <v>41670</v>
      </c>
      <c r="B215">
        <v>134350</v>
      </c>
    </row>
    <row r="216" spans="1:2" x14ac:dyDescent="0.25">
      <c r="A216" s="4">
        <v>41698</v>
      </c>
      <c r="B216">
        <v>131550</v>
      </c>
    </row>
    <row r="217" spans="1:2" x14ac:dyDescent="0.25">
      <c r="A217" s="4">
        <v>41729</v>
      </c>
      <c r="B217">
        <v>133900.75</v>
      </c>
    </row>
    <row r="218" spans="1:2" x14ac:dyDescent="0.25">
      <c r="A218" s="4">
        <v>41759</v>
      </c>
      <c r="B218">
        <v>137789</v>
      </c>
    </row>
    <row r="219" spans="1:2" x14ac:dyDescent="0.25">
      <c r="A219" s="4">
        <v>41790</v>
      </c>
      <c r="B219">
        <v>141672</v>
      </c>
    </row>
    <row r="220" spans="1:2" x14ac:dyDescent="0.25">
      <c r="A220" s="4">
        <v>41820</v>
      </c>
      <c r="B220">
        <v>146855</v>
      </c>
    </row>
    <row r="221" spans="1:2" x14ac:dyDescent="0.25">
      <c r="A221" s="4">
        <v>41851</v>
      </c>
      <c r="B221">
        <v>145300</v>
      </c>
    </row>
    <row r="222" spans="1:2" x14ac:dyDescent="0.25">
      <c r="A222" s="4">
        <v>41882</v>
      </c>
      <c r="B222">
        <v>146525</v>
      </c>
    </row>
    <row r="223" spans="1:2" x14ac:dyDescent="0.25">
      <c r="A223" s="4">
        <v>41912</v>
      </c>
      <c r="B223">
        <v>143232.5</v>
      </c>
    </row>
    <row r="224" spans="1:2" x14ac:dyDescent="0.25">
      <c r="A224" s="4">
        <v>41943</v>
      </c>
      <c r="B224">
        <v>139642.5</v>
      </c>
    </row>
    <row r="225" spans="1:2" x14ac:dyDescent="0.25">
      <c r="A225" s="4">
        <v>41973</v>
      </c>
      <c r="B225">
        <v>138915</v>
      </c>
    </row>
    <row r="226" spans="1:2" x14ac:dyDescent="0.25">
      <c r="A226" s="4">
        <v>42004</v>
      </c>
      <c r="B226">
        <v>137035</v>
      </c>
    </row>
    <row r="227" spans="1:2" x14ac:dyDescent="0.25">
      <c r="A227" s="4">
        <v>42035</v>
      </c>
      <c r="B227">
        <v>132750</v>
      </c>
    </row>
    <row r="228" spans="1:2" x14ac:dyDescent="0.25">
      <c r="A228" s="4">
        <v>42063</v>
      </c>
      <c r="B228">
        <v>133975</v>
      </c>
    </row>
    <row r="229" spans="1:2" x14ac:dyDescent="0.25">
      <c r="A229" s="4">
        <v>42094</v>
      </c>
      <c r="B229">
        <v>139452.5</v>
      </c>
    </row>
    <row r="230" spans="1:2" x14ac:dyDescent="0.25">
      <c r="A230" s="4">
        <v>42124</v>
      </c>
      <c r="B230">
        <v>144490</v>
      </c>
    </row>
    <row r="231" spans="1:2" x14ac:dyDescent="0.25">
      <c r="A231" s="4">
        <v>42155</v>
      </c>
      <c r="B231">
        <v>150620.75</v>
      </c>
    </row>
    <row r="232" spans="1:2" x14ac:dyDescent="0.25">
      <c r="A232" s="4">
        <v>42185</v>
      </c>
      <c r="B232">
        <v>153885</v>
      </c>
    </row>
    <row r="233" spans="1:2" x14ac:dyDescent="0.25">
      <c r="A233" s="4">
        <v>42216</v>
      </c>
      <c r="B233">
        <v>156555.79999999999</v>
      </c>
    </row>
    <row r="234" spans="1:2" x14ac:dyDescent="0.25">
      <c r="A234" s="4">
        <v>42247</v>
      </c>
      <c r="B234">
        <v>153563.95000000001</v>
      </c>
    </row>
    <row r="235" spans="1:2" x14ac:dyDescent="0.25">
      <c r="A235" s="4">
        <v>42277</v>
      </c>
      <c r="B235">
        <v>150359.5</v>
      </c>
    </row>
    <row r="236" spans="1:2" x14ac:dyDescent="0.25">
      <c r="A236" s="4">
        <v>42308</v>
      </c>
      <c r="B236">
        <v>146361.65</v>
      </c>
    </row>
    <row r="237" spans="1:2" x14ac:dyDescent="0.25">
      <c r="A237" s="4">
        <v>42338</v>
      </c>
      <c r="B237">
        <v>142795.35</v>
      </c>
    </row>
    <row r="238" spans="1:2" x14ac:dyDescent="0.25">
      <c r="A238" s="4">
        <v>42369</v>
      </c>
      <c r="B238">
        <v>143712.75</v>
      </c>
    </row>
    <row r="239" spans="1:2" x14ac:dyDescent="0.25">
      <c r="A239" s="4">
        <v>42400</v>
      </c>
      <c r="B239">
        <v>142604.75</v>
      </c>
    </row>
    <row r="240" spans="1:2" x14ac:dyDescent="0.25">
      <c r="A240" s="4">
        <v>42429</v>
      </c>
      <c r="B240">
        <v>141215.5</v>
      </c>
    </row>
    <row r="241" spans="1:2" x14ac:dyDescent="0.25">
      <c r="A241" s="4">
        <v>42460</v>
      </c>
      <c r="B241">
        <v>146212.85</v>
      </c>
    </row>
    <row r="242" spans="1:2" x14ac:dyDescent="0.25">
      <c r="A242" s="4">
        <v>42490</v>
      </c>
      <c r="B242">
        <v>151806.9</v>
      </c>
    </row>
    <row r="243" spans="1:2" x14ac:dyDescent="0.25">
      <c r="A243" s="4">
        <v>42521</v>
      </c>
      <c r="B243">
        <v>156360</v>
      </c>
    </row>
    <row r="244" spans="1:2" x14ac:dyDescent="0.25">
      <c r="A244" s="4">
        <v>42551</v>
      </c>
      <c r="B244">
        <v>164690.75</v>
      </c>
    </row>
    <row r="245" spans="1:2" x14ac:dyDescent="0.25">
      <c r="A245" s="4"/>
    </row>
    <row r="246" spans="1:2" x14ac:dyDescent="0.25">
      <c r="A246" s="4"/>
    </row>
    <row r="247" spans="1:2" x14ac:dyDescent="0.25">
      <c r="A247" s="4"/>
    </row>
    <row r="248" spans="1:2" x14ac:dyDescent="0.25">
      <c r="A248" s="4"/>
    </row>
    <row r="249" spans="1:2" x14ac:dyDescent="0.25">
      <c r="A249" s="4"/>
    </row>
    <row r="250" spans="1:2" x14ac:dyDescent="0.25">
      <c r="A250" s="4"/>
    </row>
    <row r="251" spans="1:2" x14ac:dyDescent="0.25">
      <c r="A251" s="4"/>
    </row>
    <row r="252" spans="1:2" x14ac:dyDescent="0.25">
      <c r="A252" s="4"/>
    </row>
    <row r="253" spans="1:2" x14ac:dyDescent="0.25">
      <c r="A253" s="4"/>
    </row>
    <row r="254" spans="1:2" x14ac:dyDescent="0.25">
      <c r="A254" s="4"/>
    </row>
    <row r="255" spans="1:2" x14ac:dyDescent="0.25">
      <c r="A255" s="4"/>
    </row>
    <row r="256" spans="1:2" x14ac:dyDescent="0.25">
      <c r="A256" s="4"/>
    </row>
    <row r="257" spans="1:1" x14ac:dyDescent="0.25">
      <c r="A257" s="4"/>
    </row>
    <row r="258" spans="1:1" x14ac:dyDescent="0.25">
      <c r="A258" s="4"/>
    </row>
  </sheetData>
  <pageMargins left="0.7" right="0.7" top="0.75" bottom="0.75" header="0.3" footer="0.3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12"/>
  <sheetViews>
    <sheetView zoomScaleNormal="100" workbookViewId="0">
      <selection activeCell="Q21" sqref="Q21"/>
    </sheetView>
  </sheetViews>
  <sheetFormatPr defaultRowHeight="15" x14ac:dyDescent="0.25"/>
  <cols>
    <col min="2" max="2" width="13.28515625" bestFit="1" customWidth="1"/>
  </cols>
  <sheetData>
    <row r="1" spans="1:2" x14ac:dyDescent="0.25">
      <c r="A1" t="s">
        <v>2</v>
      </c>
      <c r="B1" t="s">
        <v>3</v>
      </c>
    </row>
    <row r="2" spans="1:2" x14ac:dyDescent="0.25">
      <c r="A2">
        <v>2007</v>
      </c>
      <c r="B2">
        <v>222375</v>
      </c>
    </row>
    <row r="3" spans="1:2" x14ac:dyDescent="0.25">
      <c r="A3">
        <v>2008</v>
      </c>
      <c r="B3">
        <v>210983.33333333299</v>
      </c>
    </row>
    <row r="4" spans="1:2" x14ac:dyDescent="0.25">
      <c r="A4">
        <v>2009</v>
      </c>
      <c r="B4">
        <v>195316.66666666701</v>
      </c>
    </row>
    <row r="5" spans="1:2" x14ac:dyDescent="0.25">
      <c r="A5">
        <v>2010</v>
      </c>
      <c r="B5">
        <v>200675</v>
      </c>
    </row>
    <row r="6" spans="1:2" x14ac:dyDescent="0.25">
      <c r="A6">
        <v>2011</v>
      </c>
      <c r="B6">
        <v>189891.66666666701</v>
      </c>
    </row>
    <row r="7" spans="1:2" x14ac:dyDescent="0.25">
      <c r="A7">
        <v>2012</v>
      </c>
      <c r="B7">
        <v>187925</v>
      </c>
    </row>
    <row r="8" spans="1:2" x14ac:dyDescent="0.25">
      <c r="A8">
        <v>2013</v>
      </c>
      <c r="B8">
        <v>189258.33333333299</v>
      </c>
    </row>
    <row r="9" spans="1:2" x14ac:dyDescent="0.25">
      <c r="A9">
        <v>2014</v>
      </c>
      <c r="B9">
        <v>189033.33333333299</v>
      </c>
    </row>
    <row r="10" spans="1:2" x14ac:dyDescent="0.25">
      <c r="A10">
        <v>2015</v>
      </c>
      <c r="B10">
        <v>196158.33333333299</v>
      </c>
    </row>
    <row r="11" spans="1:2" x14ac:dyDescent="0.25">
      <c r="A11">
        <v>2016</v>
      </c>
      <c r="B11">
        <v>203516.66666666701</v>
      </c>
    </row>
    <row r="12" spans="1:2" x14ac:dyDescent="0.25">
      <c r="A12">
        <v>2017</v>
      </c>
      <c r="B12">
        <v>212075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3</vt:i4>
      </vt:variant>
    </vt:vector>
  </HeadingPairs>
  <TitlesOfParts>
    <vt:vector size="12" baseType="lpstr">
      <vt:lpstr>LookupLists</vt:lpstr>
      <vt:lpstr>Sheet1</vt:lpstr>
      <vt:lpstr>Sheet3</vt:lpstr>
      <vt:lpstr>Sheet4</vt:lpstr>
      <vt:lpstr>Sheet5</vt:lpstr>
      <vt:lpstr>Sheet8</vt:lpstr>
      <vt:lpstr>Sheet7</vt:lpstr>
      <vt:lpstr>Sheet6</vt:lpstr>
      <vt:lpstr>Sheet2</vt:lpstr>
      <vt:lpstr>Prices</vt:lpstr>
      <vt:lpstr>TypesOfHomes</vt:lpstr>
      <vt:lpstr>Years</vt:lpstr>
    </vt:vector>
  </TitlesOfParts>
  <Company>Wharton Computing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%LOGONNAME%</dc:creator>
  <cp:lastModifiedBy>penn109</cp:lastModifiedBy>
  <dcterms:created xsi:type="dcterms:W3CDTF">2017-12-16T15:59:34Z</dcterms:created>
  <dcterms:modified xsi:type="dcterms:W3CDTF">2017-12-17T04:35:58Z</dcterms:modified>
</cp:coreProperties>
</file>